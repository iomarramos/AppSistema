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SGP-PE0174\Desktop\Pre Cierre Orcopampa\"/>
    </mc:Choice>
  </mc:AlternateContent>
  <xr:revisionPtr revIDLastSave="0" documentId="13_ncr:1_{45FB0C01-CF09-4136-8983-D959505CA8CA}" xr6:coauthVersionLast="47" xr6:coauthVersionMax="47" xr10:uidLastSave="{00000000-0000-0000-0000-000000000000}"/>
  <bookViews>
    <workbookView xWindow="-120" yWindow="-120" windowWidth="29040" windowHeight="15720" activeTab="2" xr2:uid="{00000000-000D-0000-FFFF-FFFF00000000}"/>
  </bookViews>
  <sheets>
    <sheet name="Ingresar Datos" sheetId="3" r:id="rId1"/>
    <sheet name="Reporte" sheetId="6" r:id="rId2"/>
    <sheet name="Reporte (2)" sheetId="7" r:id="rId3"/>
  </sheets>
  <definedNames>
    <definedName name="_xlnm._FilterDatabase" localSheetId="0" hidden="1">'Ingresar Datos'!$A$6:$Q$1052</definedName>
    <definedName name="_xlnm.Print_Area" localSheetId="1">Reporte!$B$1:$O$11</definedName>
    <definedName name="_xlnm.Print_Area" localSheetId="2">'Reporte (2)'!$B$1:$O$84</definedName>
    <definedName name="_xlnm.Print_Titles" localSheetId="1">Reporte!$1:$11</definedName>
    <definedName name="_xlnm.Print_Titles" localSheetId="2">'Reporte (2)'!$1:$11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2" i="7" l="1"/>
  <c r="L62" i="7"/>
  <c r="N62" i="7" s="1"/>
  <c r="M61" i="7"/>
  <c r="L61" i="7"/>
  <c r="N61" i="7" s="1"/>
  <c r="M60" i="7"/>
  <c r="L60" i="7"/>
  <c r="M59" i="7"/>
  <c r="L59" i="7"/>
  <c r="N59" i="7" s="1"/>
  <c r="M58" i="7"/>
  <c r="L58" i="7"/>
  <c r="N58" i="7" s="1"/>
  <c r="M57" i="7"/>
  <c r="L57" i="7"/>
  <c r="N57" i="7" s="1"/>
  <c r="M56" i="7"/>
  <c r="L56" i="7"/>
  <c r="M55" i="7"/>
  <c r="L55" i="7"/>
  <c r="N55" i="7" s="1"/>
  <c r="N60" i="7" l="1"/>
  <c r="N56" i="7"/>
  <c r="L265" i="3"/>
  <c r="M265" i="3"/>
  <c r="L266" i="3"/>
  <c r="M266" i="3"/>
  <c r="L72" i="3"/>
  <c r="M72" i="3"/>
  <c r="L252" i="3"/>
  <c r="M252" i="3"/>
  <c r="L53" i="3"/>
  <c r="M53" i="3"/>
  <c r="L267" i="3"/>
  <c r="M267" i="3"/>
  <c r="L268" i="3"/>
  <c r="M268" i="3"/>
  <c r="L14" i="3"/>
  <c r="M14" i="3"/>
  <c r="L209" i="3"/>
  <c r="M209" i="3"/>
  <c r="L7" i="3"/>
  <c r="M7" i="3"/>
  <c r="L167" i="3"/>
  <c r="M167" i="3"/>
  <c r="L52" i="3"/>
  <c r="M52" i="3"/>
  <c r="L139" i="3"/>
  <c r="M139" i="3"/>
  <c r="L270" i="3"/>
  <c r="M270" i="3"/>
  <c r="L45" i="3"/>
  <c r="M45" i="3"/>
  <c r="L63" i="3"/>
  <c r="M63" i="3"/>
  <c r="L168" i="3"/>
  <c r="M168" i="3"/>
  <c r="L256" i="3"/>
  <c r="M256" i="3"/>
  <c r="L169" i="3"/>
  <c r="M169" i="3"/>
  <c r="L97" i="3"/>
  <c r="M97" i="3"/>
  <c r="L203" i="3"/>
  <c r="M203" i="3"/>
  <c r="L271" i="3"/>
  <c r="M271" i="3"/>
  <c r="L77" i="3"/>
  <c r="M77" i="3"/>
  <c r="L400" i="3"/>
  <c r="M400" i="3"/>
  <c r="L108" i="3"/>
  <c r="M108" i="3"/>
  <c r="L13" i="3"/>
  <c r="M13" i="3"/>
  <c r="L115" i="3"/>
  <c r="M115" i="3"/>
  <c r="L31" i="3"/>
  <c r="M31" i="3"/>
  <c r="L283" i="3"/>
  <c r="M283" i="3"/>
  <c r="L109" i="3"/>
  <c r="M109" i="3"/>
  <c r="L86" i="3"/>
  <c r="M86" i="3"/>
  <c r="L171" i="3"/>
  <c r="M171" i="3"/>
  <c r="L102" i="3"/>
  <c r="M102" i="3"/>
  <c r="L272" i="3"/>
  <c r="M272" i="3"/>
  <c r="L202" i="3"/>
  <c r="M202" i="3"/>
  <c r="L210" i="3"/>
  <c r="M210" i="3"/>
  <c r="L232" i="3"/>
  <c r="M232" i="3"/>
  <c r="L304" i="3"/>
  <c r="M304" i="3"/>
  <c r="L223" i="3"/>
  <c r="M223" i="3"/>
  <c r="L273" i="3"/>
  <c r="M273" i="3"/>
  <c r="L274" i="3"/>
  <c r="M274" i="3"/>
  <c r="L244" i="3"/>
  <c r="M244" i="3"/>
  <c r="L275" i="3"/>
  <c r="M275" i="3"/>
  <c r="L145" i="3"/>
  <c r="M145" i="3"/>
  <c r="L276" i="3"/>
  <c r="M276" i="3"/>
  <c r="L277" i="3"/>
  <c r="M277" i="3"/>
  <c r="L159" i="3"/>
  <c r="M159" i="3"/>
  <c r="L172" i="3"/>
  <c r="M172" i="3"/>
  <c r="L278" i="3"/>
  <c r="M278" i="3"/>
  <c r="L261" i="3"/>
  <c r="M261" i="3"/>
  <c r="L279" i="3"/>
  <c r="M279" i="3"/>
  <c r="L217" i="3"/>
  <c r="M217" i="3"/>
  <c r="L280" i="3"/>
  <c r="M280" i="3"/>
  <c r="L281" i="3"/>
  <c r="M281" i="3"/>
  <c r="L263" i="3"/>
  <c r="M263" i="3"/>
  <c r="L75" i="3"/>
  <c r="M75" i="3"/>
  <c r="L221" i="3"/>
  <c r="M221" i="3"/>
  <c r="L282" i="3"/>
  <c r="M282" i="3"/>
  <c r="L211" i="3"/>
  <c r="M211" i="3"/>
  <c r="L93" i="3"/>
  <c r="M93" i="3"/>
  <c r="L113" i="3"/>
  <c r="M113" i="3"/>
  <c r="L245" i="3"/>
  <c r="M245" i="3"/>
  <c r="L234" i="3"/>
  <c r="M234" i="3"/>
  <c r="L181" i="3"/>
  <c r="M181" i="3"/>
  <c r="L213" i="3"/>
  <c r="M213" i="3"/>
  <c r="L239" i="3"/>
  <c r="M239" i="3"/>
  <c r="L320" i="3"/>
  <c r="M320" i="3"/>
  <c r="L132" i="3"/>
  <c r="M132" i="3"/>
  <c r="L56" i="3"/>
  <c r="M56" i="3"/>
  <c r="L173" i="3"/>
  <c r="M173" i="3"/>
  <c r="L284" i="3"/>
  <c r="M284" i="3"/>
  <c r="L340" i="3"/>
  <c r="M340" i="3"/>
  <c r="L158" i="3"/>
  <c r="M158" i="3"/>
  <c r="L85" i="3"/>
  <c r="M85" i="3"/>
  <c r="L174" i="3"/>
  <c r="M174" i="3"/>
  <c r="L285" i="3"/>
  <c r="M285" i="3"/>
  <c r="L112" i="3"/>
  <c r="M112" i="3"/>
  <c r="L175" i="3"/>
  <c r="M175" i="3"/>
  <c r="L286" i="3"/>
  <c r="M286" i="3"/>
  <c r="L287" i="3"/>
  <c r="M287" i="3"/>
  <c r="L161" i="3"/>
  <c r="M161" i="3"/>
  <c r="L288" i="3"/>
  <c r="M288" i="3"/>
  <c r="L69" i="3"/>
  <c r="M69" i="3"/>
  <c r="L289" i="3"/>
  <c r="M289" i="3"/>
  <c r="L57" i="3"/>
  <c r="M57" i="3"/>
  <c r="L290" i="3"/>
  <c r="M290" i="3"/>
  <c r="L291" i="3"/>
  <c r="M291" i="3"/>
  <c r="L292" i="3"/>
  <c r="M292" i="3"/>
  <c r="L406" i="3"/>
  <c r="M406" i="3"/>
  <c r="L225" i="3"/>
  <c r="M225" i="3"/>
  <c r="L293" i="3"/>
  <c r="M293" i="3"/>
  <c r="L144" i="3"/>
  <c r="M144" i="3"/>
  <c r="L410" i="3"/>
  <c r="M410" i="3"/>
  <c r="L148" i="3"/>
  <c r="M148" i="3"/>
  <c r="L294" i="3"/>
  <c r="M294" i="3"/>
  <c r="L295" i="3"/>
  <c r="M295" i="3"/>
  <c r="L205" i="3"/>
  <c r="M205" i="3"/>
  <c r="L296" i="3"/>
  <c r="M296" i="3"/>
  <c r="L297" i="3"/>
  <c r="M297" i="3"/>
  <c r="L30" i="3"/>
  <c r="M30" i="3"/>
  <c r="L219" i="3"/>
  <c r="M219" i="3"/>
  <c r="L84" i="3"/>
  <c r="M84" i="3"/>
  <c r="L90" i="3"/>
  <c r="M90" i="3"/>
  <c r="L426" i="3"/>
  <c r="M426" i="3"/>
  <c r="L305" i="3"/>
  <c r="M305" i="3"/>
  <c r="L156" i="3"/>
  <c r="M156" i="3"/>
  <c r="L229" i="3"/>
  <c r="M229" i="3"/>
  <c r="L94" i="3"/>
  <c r="M94" i="3"/>
  <c r="L99" i="3"/>
  <c r="M99" i="3"/>
  <c r="L61" i="3"/>
  <c r="M61" i="3"/>
  <c r="L299" i="3"/>
  <c r="M299" i="3"/>
  <c r="L21" i="3"/>
  <c r="M21" i="3"/>
  <c r="L20" i="3"/>
  <c r="M20" i="3"/>
  <c r="L300" i="3"/>
  <c r="M300" i="3"/>
  <c r="L150" i="3"/>
  <c r="M150" i="3"/>
  <c r="L178" i="3"/>
  <c r="M178" i="3"/>
  <c r="L405" i="3"/>
  <c r="M405" i="3"/>
  <c r="L35" i="3"/>
  <c r="M35" i="3"/>
  <c r="L301" i="3"/>
  <c r="M301" i="3"/>
  <c r="L163" i="3"/>
  <c r="M163" i="3"/>
  <c r="L262" i="3"/>
  <c r="M262" i="3"/>
  <c r="L149" i="3"/>
  <c r="M149" i="3"/>
  <c r="L142" i="3"/>
  <c r="M142" i="3"/>
  <c r="L164" i="3"/>
  <c r="M164" i="3"/>
  <c r="L66" i="3"/>
  <c r="M66" i="3"/>
  <c r="L302" i="3"/>
  <c r="M302" i="3"/>
  <c r="L303" i="3"/>
  <c r="M303" i="3"/>
  <c r="L140" i="3"/>
  <c r="M140" i="3"/>
  <c r="L151" i="3"/>
  <c r="M151" i="3"/>
  <c r="L165" i="3"/>
  <c r="M165" i="3"/>
  <c r="L118" i="3"/>
  <c r="M118" i="3"/>
  <c r="L339" i="3"/>
  <c r="M339" i="3"/>
  <c r="L204" i="3"/>
  <c r="M204" i="3"/>
  <c r="L146" i="3"/>
  <c r="M146" i="3"/>
  <c r="L104" i="3"/>
  <c r="M104" i="3"/>
  <c r="L40" i="3"/>
  <c r="M40" i="3"/>
  <c r="L353" i="3"/>
  <c r="M353" i="3"/>
  <c r="L127" i="3"/>
  <c r="M127" i="3"/>
  <c r="L98" i="3"/>
  <c r="M98" i="3"/>
  <c r="L306" i="3"/>
  <c r="M306" i="3"/>
  <c r="L22" i="3"/>
  <c r="M22" i="3"/>
  <c r="L157" i="3"/>
  <c r="M157" i="3"/>
  <c r="L106" i="3"/>
  <c r="M106" i="3"/>
  <c r="L34" i="3"/>
  <c r="M34" i="3"/>
  <c r="L37" i="3"/>
  <c r="M37" i="3"/>
  <c r="L307" i="3"/>
  <c r="M307" i="3"/>
  <c r="L50" i="3"/>
  <c r="M50" i="3"/>
  <c r="L48" i="3"/>
  <c r="M48" i="3"/>
  <c r="L308" i="3"/>
  <c r="M308" i="3"/>
  <c r="L179" i="3"/>
  <c r="M179" i="3"/>
  <c r="L309" i="3"/>
  <c r="M309" i="3"/>
  <c r="L19" i="3"/>
  <c r="M19" i="3"/>
  <c r="L36" i="3"/>
  <c r="M36" i="3"/>
  <c r="L23" i="3"/>
  <c r="M23" i="3"/>
  <c r="L180" i="3"/>
  <c r="M180" i="3"/>
  <c r="L153" i="3"/>
  <c r="M153" i="3"/>
  <c r="L311" i="3"/>
  <c r="M311" i="3"/>
  <c r="L188" i="3"/>
  <c r="M188" i="3"/>
  <c r="L246" i="3"/>
  <c r="M246" i="3"/>
  <c r="L231" i="3"/>
  <c r="M231" i="3"/>
  <c r="L387" i="3"/>
  <c r="M387" i="3"/>
  <c r="L224" i="3"/>
  <c r="M224" i="3"/>
  <c r="L313" i="3"/>
  <c r="M313" i="3"/>
  <c r="L177" i="3"/>
  <c r="M177" i="3"/>
  <c r="L10" i="3"/>
  <c r="M10" i="3"/>
  <c r="L15" i="3"/>
  <c r="M15" i="3"/>
  <c r="L314" i="3"/>
  <c r="M314" i="3"/>
  <c r="L257" i="3"/>
  <c r="M257" i="3"/>
  <c r="L236" i="3"/>
  <c r="M236" i="3"/>
  <c r="L136" i="3"/>
  <c r="M136" i="3"/>
  <c r="L315" i="3"/>
  <c r="M315" i="3"/>
  <c r="L316" i="3"/>
  <c r="M316" i="3"/>
  <c r="L230" i="3"/>
  <c r="M230" i="3"/>
  <c r="L317" i="3"/>
  <c r="M317" i="3"/>
  <c r="L160" i="3"/>
  <c r="M160" i="3"/>
  <c r="L318" i="3"/>
  <c r="M318" i="3"/>
  <c r="L319" i="3"/>
  <c r="M319" i="3"/>
  <c r="L73" i="3"/>
  <c r="M73" i="3"/>
  <c r="L110" i="3"/>
  <c r="M110" i="3"/>
  <c r="L206" i="3"/>
  <c r="M206" i="3"/>
  <c r="L122" i="3"/>
  <c r="M122" i="3"/>
  <c r="L321" i="3"/>
  <c r="M321" i="3"/>
  <c r="L147" i="3"/>
  <c r="M147" i="3"/>
  <c r="L322" i="3"/>
  <c r="M322" i="3"/>
  <c r="L27" i="3"/>
  <c r="M27" i="3"/>
  <c r="L129" i="3"/>
  <c r="M129" i="3"/>
  <c r="L323" i="3"/>
  <c r="M323" i="3"/>
  <c r="L68" i="3"/>
  <c r="M68" i="3"/>
  <c r="L324" i="3"/>
  <c r="M324" i="3"/>
  <c r="L125" i="3"/>
  <c r="M125" i="3"/>
  <c r="L253" i="3"/>
  <c r="M253" i="3"/>
  <c r="L259" i="3"/>
  <c r="M259" i="3"/>
  <c r="L325" i="3"/>
  <c r="M325" i="3"/>
  <c r="L78" i="3"/>
  <c r="M78" i="3"/>
  <c r="L182" i="3"/>
  <c r="M182" i="3"/>
  <c r="L326" i="3"/>
  <c r="M326" i="3"/>
  <c r="L62" i="3"/>
  <c r="M62" i="3"/>
  <c r="L8" i="3"/>
  <c r="M8" i="3"/>
  <c r="L327" i="3"/>
  <c r="M327" i="3"/>
  <c r="L328" i="3"/>
  <c r="M328" i="3"/>
  <c r="L329" i="3"/>
  <c r="M329" i="3"/>
  <c r="L79" i="3"/>
  <c r="M79" i="3"/>
  <c r="L51" i="3"/>
  <c r="M51" i="3"/>
  <c r="L9" i="3"/>
  <c r="M9" i="3"/>
  <c r="L101" i="3"/>
  <c r="M101" i="3"/>
  <c r="L208" i="3"/>
  <c r="M208" i="3"/>
  <c r="L91" i="3"/>
  <c r="M91" i="3"/>
  <c r="L103" i="3"/>
  <c r="M103" i="3"/>
  <c r="L183" i="3"/>
  <c r="M183" i="3"/>
  <c r="L330" i="3"/>
  <c r="M330" i="3"/>
  <c r="L114" i="3"/>
  <c r="M114" i="3"/>
  <c r="L240" i="3"/>
  <c r="M240" i="3"/>
  <c r="L331" i="3"/>
  <c r="M331" i="3"/>
  <c r="L207" i="3"/>
  <c r="M207" i="3"/>
  <c r="L215" i="3"/>
  <c r="M215" i="3"/>
  <c r="L332" i="3"/>
  <c r="M332" i="3"/>
  <c r="L333" i="3"/>
  <c r="M333" i="3"/>
  <c r="L38" i="3"/>
  <c r="M38" i="3"/>
  <c r="L141" i="3"/>
  <c r="M141" i="3"/>
  <c r="L334" i="3"/>
  <c r="M334" i="3"/>
  <c r="L335" i="3"/>
  <c r="M335" i="3"/>
  <c r="L336" i="3"/>
  <c r="M336" i="3"/>
  <c r="L133" i="3"/>
  <c r="M133" i="3"/>
  <c r="L260" i="3"/>
  <c r="M260" i="3"/>
  <c r="L214" i="3"/>
  <c r="M214" i="3"/>
  <c r="L337" i="3"/>
  <c r="M337" i="3"/>
  <c r="L64" i="3"/>
  <c r="M64" i="3"/>
  <c r="L124" i="3"/>
  <c r="M124" i="3"/>
  <c r="L233" i="3"/>
  <c r="M233" i="3"/>
  <c r="L338" i="3"/>
  <c r="M338" i="3"/>
  <c r="L43" i="3"/>
  <c r="M43" i="3"/>
  <c r="L59" i="3"/>
  <c r="M59" i="3"/>
  <c r="L370" i="3"/>
  <c r="M370" i="3"/>
  <c r="L184" i="3"/>
  <c r="M184" i="3"/>
  <c r="L269" i="3"/>
  <c r="M269" i="3"/>
  <c r="L41" i="3"/>
  <c r="M41" i="3"/>
  <c r="L342" i="3"/>
  <c r="M342" i="3"/>
  <c r="L119" i="3"/>
  <c r="M119" i="3"/>
  <c r="L143" i="3"/>
  <c r="M143" i="3"/>
  <c r="L100" i="3"/>
  <c r="M100" i="3"/>
  <c r="L343" i="3"/>
  <c r="M343" i="3"/>
  <c r="L39" i="3"/>
  <c r="M39" i="3"/>
  <c r="L201" i="3"/>
  <c r="M201" i="3"/>
  <c r="L24" i="3"/>
  <c r="M24" i="3"/>
  <c r="L16" i="3"/>
  <c r="M16" i="3"/>
  <c r="L58" i="3"/>
  <c r="M58" i="3"/>
  <c r="L81" i="3"/>
  <c r="M81" i="3"/>
  <c r="L131" i="3"/>
  <c r="M131" i="3"/>
  <c r="L344" i="3"/>
  <c r="M344" i="3"/>
  <c r="L345" i="3"/>
  <c r="M345" i="3"/>
  <c r="L71" i="3"/>
  <c r="M71" i="3"/>
  <c r="L87" i="3"/>
  <c r="M87" i="3"/>
  <c r="L346" i="3"/>
  <c r="M346" i="3"/>
  <c r="L185" i="3"/>
  <c r="M185" i="3"/>
  <c r="L95" i="3"/>
  <c r="M95" i="3"/>
  <c r="L401" i="3"/>
  <c r="M401" i="3"/>
  <c r="L254" i="3"/>
  <c r="M254" i="3"/>
  <c r="L121" i="3"/>
  <c r="M121" i="3"/>
  <c r="L216" i="3"/>
  <c r="M216" i="3"/>
  <c r="L241" i="3"/>
  <c r="M241" i="3"/>
  <c r="L74" i="3"/>
  <c r="M74" i="3"/>
  <c r="L96" i="3"/>
  <c r="M96" i="3"/>
  <c r="L187" i="3"/>
  <c r="M187" i="3"/>
  <c r="L67" i="3"/>
  <c r="M67" i="3"/>
  <c r="L388" i="3"/>
  <c r="M388" i="3"/>
  <c r="L255" i="3"/>
  <c r="M255" i="3"/>
  <c r="L176" i="3"/>
  <c r="M176" i="3"/>
  <c r="L42" i="3"/>
  <c r="M42" i="3"/>
  <c r="L298" i="3"/>
  <c r="M298" i="3"/>
  <c r="L384" i="3"/>
  <c r="M384" i="3"/>
  <c r="L11" i="3"/>
  <c r="M11" i="3"/>
  <c r="L243" i="3"/>
  <c r="M243" i="3"/>
  <c r="L218" i="3"/>
  <c r="M218" i="3"/>
  <c r="L47" i="3"/>
  <c r="M47" i="3"/>
  <c r="L347" i="3"/>
  <c r="M347" i="3"/>
  <c r="L154" i="3"/>
  <c r="M154" i="3"/>
  <c r="L83" i="3"/>
  <c r="M83" i="3"/>
  <c r="L349" i="3"/>
  <c r="M349" i="3"/>
  <c r="L54" i="3"/>
  <c r="M54" i="3"/>
  <c r="L249" i="3"/>
  <c r="M249" i="3"/>
  <c r="L227" i="3"/>
  <c r="M227" i="3"/>
  <c r="L190" i="3"/>
  <c r="M190" i="3"/>
  <c r="L128" i="3"/>
  <c r="M128" i="3"/>
  <c r="L235" i="3"/>
  <c r="M235" i="3"/>
  <c r="L350" i="3"/>
  <c r="M350" i="3"/>
  <c r="L33" i="3"/>
  <c r="M33" i="3"/>
  <c r="L351" i="3"/>
  <c r="M351" i="3"/>
  <c r="L352" i="3"/>
  <c r="M352" i="3"/>
  <c r="L191" i="3"/>
  <c r="M191" i="3"/>
  <c r="L89" i="3"/>
  <c r="M89" i="3"/>
  <c r="L80" i="3"/>
  <c r="M80" i="3"/>
  <c r="L166" i="3"/>
  <c r="M166" i="3"/>
  <c r="L354" i="3"/>
  <c r="M354" i="3"/>
  <c r="L199" i="3"/>
  <c r="M199" i="3"/>
  <c r="L192" i="3"/>
  <c r="M192" i="3"/>
  <c r="L355" i="3"/>
  <c r="M355" i="3"/>
  <c r="L193" i="3"/>
  <c r="M193" i="3"/>
  <c r="L55" i="3"/>
  <c r="M55" i="3"/>
  <c r="L356" i="3"/>
  <c r="M356" i="3"/>
  <c r="L357" i="3"/>
  <c r="M357" i="3"/>
  <c r="L152" i="3"/>
  <c r="M152" i="3"/>
  <c r="L28" i="3"/>
  <c r="M28" i="3"/>
  <c r="L130" i="3"/>
  <c r="M130" i="3"/>
  <c r="L92" i="3"/>
  <c r="M92" i="3"/>
  <c r="L380" i="3"/>
  <c r="M380" i="3"/>
  <c r="L258" i="3"/>
  <c r="M258" i="3"/>
  <c r="L126" i="3"/>
  <c r="M126" i="3"/>
  <c r="L358" i="3"/>
  <c r="M358" i="3"/>
  <c r="L359" i="3"/>
  <c r="M359" i="3"/>
  <c r="L360" i="3"/>
  <c r="M360" i="3"/>
  <c r="L361" i="3"/>
  <c r="M361" i="3"/>
  <c r="L111" i="3"/>
  <c r="M111" i="3"/>
  <c r="L362" i="3"/>
  <c r="M362" i="3"/>
  <c r="L65" i="3"/>
  <c r="M65" i="3"/>
  <c r="L120" i="3"/>
  <c r="M120" i="3"/>
  <c r="L363" i="3"/>
  <c r="M363" i="3"/>
  <c r="L123" i="3"/>
  <c r="M123" i="3"/>
  <c r="L364" i="3"/>
  <c r="M364" i="3"/>
  <c r="L242" i="3"/>
  <c r="M242" i="3"/>
  <c r="L247" i="3"/>
  <c r="M247" i="3"/>
  <c r="L365" i="3"/>
  <c r="M365" i="3"/>
  <c r="L170" i="3"/>
  <c r="M170" i="3"/>
  <c r="L366" i="3"/>
  <c r="M366" i="3"/>
  <c r="L228" i="3"/>
  <c r="M228" i="3"/>
  <c r="L220" i="3"/>
  <c r="M220" i="3"/>
  <c r="L310" i="3"/>
  <c r="M310" i="3"/>
  <c r="L49" i="3"/>
  <c r="M49" i="3"/>
  <c r="L367" i="3"/>
  <c r="M367" i="3"/>
  <c r="L60" i="3"/>
  <c r="M60" i="3"/>
  <c r="L368" i="3"/>
  <c r="M368" i="3"/>
  <c r="L107" i="3"/>
  <c r="M107" i="3"/>
  <c r="L238" i="3"/>
  <c r="M238" i="3"/>
  <c r="L369" i="3"/>
  <c r="M369" i="3"/>
  <c r="L212" i="3"/>
  <c r="M212" i="3"/>
  <c r="L138" i="3"/>
  <c r="M138" i="3"/>
  <c r="L25" i="3"/>
  <c r="M25" i="3"/>
  <c r="L82" i="3"/>
  <c r="M82" i="3"/>
  <c r="L371" i="3"/>
  <c r="M371" i="3"/>
  <c r="L29" i="3"/>
  <c r="M29" i="3"/>
  <c r="L372" i="3"/>
  <c r="M372" i="3"/>
  <c r="L194" i="3"/>
  <c r="M194" i="3"/>
  <c r="L222" i="3"/>
  <c r="M222" i="3"/>
  <c r="L12" i="3"/>
  <c r="M12" i="3"/>
  <c r="L195" i="3"/>
  <c r="M195" i="3"/>
  <c r="L32" i="3"/>
  <c r="M32" i="3"/>
  <c r="L17" i="3"/>
  <c r="M17" i="3"/>
  <c r="L373" i="3"/>
  <c r="M373" i="3"/>
  <c r="L374" i="3"/>
  <c r="M374" i="3"/>
  <c r="L44" i="3"/>
  <c r="M44" i="3"/>
  <c r="L226" i="3"/>
  <c r="M226" i="3"/>
  <c r="L375" i="3"/>
  <c r="M375" i="3"/>
  <c r="L376" i="3"/>
  <c r="M376" i="3"/>
  <c r="L341" i="3"/>
  <c r="M341" i="3"/>
  <c r="L377" i="3"/>
  <c r="M377" i="3"/>
  <c r="L378" i="3"/>
  <c r="M378" i="3"/>
  <c r="L70" i="3"/>
  <c r="M70" i="3"/>
  <c r="L137" i="3"/>
  <c r="M137" i="3"/>
  <c r="L105" i="3"/>
  <c r="M105" i="3"/>
  <c r="L155" i="3"/>
  <c r="M155" i="3"/>
  <c r="L312" i="3"/>
  <c r="M312" i="3"/>
  <c r="L117" i="3"/>
  <c r="M117" i="3"/>
  <c r="L135" i="3"/>
  <c r="M135" i="3"/>
  <c r="L46" i="3"/>
  <c r="M46" i="3"/>
  <c r="L379" i="3"/>
  <c r="M379" i="3"/>
  <c r="L189" i="3"/>
  <c r="M189" i="3"/>
  <c r="L381" i="3"/>
  <c r="M381" i="3"/>
  <c r="L250" i="3"/>
  <c r="M250" i="3"/>
  <c r="L382" i="3"/>
  <c r="M382" i="3"/>
  <c r="L383" i="3"/>
  <c r="M383" i="3"/>
  <c r="L18" i="3"/>
  <c r="M18" i="3"/>
  <c r="L385" i="3"/>
  <c r="M385" i="3"/>
  <c r="L386" i="3"/>
  <c r="M386" i="3"/>
  <c r="L88" i="3"/>
  <c r="M88" i="3"/>
  <c r="L196" i="3"/>
  <c r="M196" i="3"/>
  <c r="L248" i="3"/>
  <c r="M248" i="3"/>
  <c r="L389" i="3"/>
  <c r="M389" i="3"/>
  <c r="L390" i="3"/>
  <c r="M390" i="3"/>
  <c r="L391" i="3"/>
  <c r="M391" i="3"/>
  <c r="L116" i="3"/>
  <c r="M116" i="3"/>
  <c r="L198" i="3"/>
  <c r="M198" i="3"/>
  <c r="L237" i="3"/>
  <c r="M237" i="3"/>
  <c r="L200" i="3"/>
  <c r="M200" i="3"/>
  <c r="L392" i="3"/>
  <c r="M392" i="3"/>
  <c r="L393" i="3"/>
  <c r="M393" i="3"/>
  <c r="L394" i="3"/>
  <c r="M394" i="3"/>
  <c r="L26" i="3"/>
  <c r="M26" i="3"/>
  <c r="L134" i="3"/>
  <c r="M134" i="3"/>
  <c r="L395" i="3"/>
  <c r="M395" i="3"/>
  <c r="L396" i="3"/>
  <c r="M396" i="3"/>
  <c r="L397" i="3"/>
  <c r="M397" i="3"/>
  <c r="L398" i="3"/>
  <c r="M398" i="3"/>
  <c r="L399" i="3"/>
  <c r="M399" i="3"/>
  <c r="L251" i="3"/>
  <c r="M251" i="3"/>
  <c r="L197" i="3"/>
  <c r="M197" i="3"/>
  <c r="L402" i="3"/>
  <c r="M402" i="3"/>
  <c r="L403" i="3"/>
  <c r="M403" i="3"/>
  <c r="L404" i="3"/>
  <c r="M404" i="3"/>
  <c r="L162" i="3"/>
  <c r="M162" i="3"/>
  <c r="L186" i="3"/>
  <c r="M186" i="3"/>
  <c r="L407" i="3"/>
  <c r="M407" i="3"/>
  <c r="L408" i="3"/>
  <c r="M408" i="3"/>
  <c r="L409" i="3"/>
  <c r="M409" i="3"/>
  <c r="L348" i="3"/>
  <c r="M348" i="3"/>
  <c r="L411" i="3"/>
  <c r="M411" i="3"/>
  <c r="L412" i="3"/>
  <c r="M412" i="3"/>
  <c r="L413" i="3"/>
  <c r="M413" i="3"/>
  <c r="L414" i="3"/>
  <c r="M414" i="3"/>
  <c r="L415" i="3"/>
  <c r="M415" i="3"/>
  <c r="L416" i="3"/>
  <c r="M416" i="3"/>
  <c r="L417" i="3"/>
  <c r="M417" i="3"/>
  <c r="L418" i="3"/>
  <c r="M418" i="3"/>
  <c r="L419" i="3"/>
  <c r="M419" i="3"/>
  <c r="L420" i="3"/>
  <c r="M420" i="3"/>
  <c r="L421" i="3"/>
  <c r="M421" i="3"/>
  <c r="L422" i="3"/>
  <c r="M422" i="3"/>
  <c r="L423" i="3"/>
  <c r="M423" i="3"/>
  <c r="L424" i="3"/>
  <c r="M424" i="3"/>
  <c r="L425" i="3"/>
  <c r="M425" i="3"/>
  <c r="L76" i="3"/>
  <c r="M76" i="3"/>
  <c r="L427" i="3"/>
  <c r="M427" i="3"/>
  <c r="L428" i="3"/>
  <c r="M428" i="3"/>
  <c r="L429" i="3"/>
  <c r="M429" i="3"/>
  <c r="L430" i="3"/>
  <c r="M430" i="3"/>
  <c r="L431" i="3"/>
  <c r="M431" i="3"/>
  <c r="L432" i="3"/>
  <c r="M432" i="3"/>
  <c r="L433" i="3"/>
  <c r="M433" i="3"/>
  <c r="L434" i="3"/>
  <c r="M434" i="3"/>
  <c r="L435" i="3"/>
  <c r="M435" i="3"/>
  <c r="L436" i="3"/>
  <c r="M436" i="3"/>
  <c r="L437" i="3"/>
  <c r="M437" i="3"/>
  <c r="L438" i="3"/>
  <c r="M438" i="3"/>
  <c r="L439" i="3"/>
  <c r="M439" i="3"/>
  <c r="L440" i="3"/>
  <c r="M440" i="3"/>
  <c r="L441" i="3"/>
  <c r="M441" i="3"/>
  <c r="L442" i="3"/>
  <c r="M442" i="3"/>
  <c r="L443" i="3"/>
  <c r="M443" i="3"/>
  <c r="L444" i="3"/>
  <c r="M444" i="3"/>
  <c r="L445" i="3"/>
  <c r="M445" i="3"/>
  <c r="L446" i="3"/>
  <c r="M446" i="3"/>
  <c r="L447" i="3"/>
  <c r="M447" i="3"/>
  <c r="L448" i="3"/>
  <c r="M448" i="3"/>
  <c r="L449" i="3"/>
  <c r="M449" i="3"/>
  <c r="L450" i="3"/>
  <c r="M450" i="3"/>
  <c r="L451" i="3"/>
  <c r="M451" i="3"/>
  <c r="L452" i="3"/>
  <c r="M452" i="3"/>
  <c r="L453" i="3"/>
  <c r="M453" i="3"/>
  <c r="L454" i="3"/>
  <c r="M454" i="3"/>
  <c r="L455" i="3"/>
  <c r="M455" i="3"/>
  <c r="L456" i="3"/>
  <c r="M456" i="3"/>
  <c r="L457" i="3"/>
  <c r="M457" i="3"/>
  <c r="L458" i="3"/>
  <c r="M458" i="3"/>
  <c r="L459" i="3"/>
  <c r="M459" i="3"/>
  <c r="L460" i="3"/>
  <c r="M460" i="3"/>
  <c r="L461" i="3"/>
  <c r="M461" i="3"/>
  <c r="L462" i="3"/>
  <c r="M462" i="3"/>
  <c r="L463" i="3"/>
  <c r="M463" i="3"/>
  <c r="L464" i="3"/>
  <c r="M464" i="3"/>
  <c r="L465" i="3"/>
  <c r="M465" i="3"/>
  <c r="L466" i="3"/>
  <c r="M466" i="3"/>
  <c r="L467" i="3"/>
  <c r="M467" i="3"/>
  <c r="L468" i="3"/>
  <c r="M468" i="3"/>
  <c r="L469" i="3"/>
  <c r="M469" i="3"/>
  <c r="L470" i="3"/>
  <c r="M470" i="3"/>
  <c r="L471" i="3"/>
  <c r="M471" i="3"/>
  <c r="L472" i="3"/>
  <c r="M472" i="3"/>
  <c r="L473" i="3"/>
  <c r="M473" i="3"/>
  <c r="L474" i="3"/>
  <c r="M474" i="3"/>
  <c r="L475" i="3"/>
  <c r="M475" i="3"/>
  <c r="L476" i="3"/>
  <c r="M476" i="3"/>
  <c r="L477" i="3"/>
  <c r="M477" i="3"/>
  <c r="L478" i="3"/>
  <c r="M478" i="3"/>
  <c r="L479" i="3"/>
  <c r="M479" i="3"/>
  <c r="L480" i="3"/>
  <c r="M480" i="3"/>
  <c r="L481" i="3"/>
  <c r="M481" i="3"/>
  <c r="L482" i="3"/>
  <c r="M482" i="3"/>
  <c r="L483" i="3"/>
  <c r="M483" i="3"/>
  <c r="L484" i="3"/>
  <c r="M484" i="3"/>
  <c r="L485" i="3"/>
  <c r="M485" i="3"/>
  <c r="L486" i="3"/>
  <c r="M486" i="3"/>
  <c r="L487" i="3"/>
  <c r="M487" i="3"/>
  <c r="L488" i="3"/>
  <c r="M488" i="3"/>
  <c r="L489" i="3"/>
  <c r="M489" i="3"/>
  <c r="L490" i="3"/>
  <c r="M490" i="3"/>
  <c r="L491" i="3"/>
  <c r="M491" i="3"/>
  <c r="L492" i="3"/>
  <c r="M492" i="3"/>
  <c r="L493" i="3"/>
  <c r="M493" i="3"/>
  <c r="L494" i="3"/>
  <c r="M494" i="3"/>
  <c r="L495" i="3"/>
  <c r="M495" i="3"/>
  <c r="L496" i="3"/>
  <c r="M496" i="3"/>
  <c r="L497" i="3"/>
  <c r="M497" i="3"/>
  <c r="L498" i="3"/>
  <c r="M498" i="3"/>
  <c r="L499" i="3"/>
  <c r="M499" i="3"/>
  <c r="L500" i="3"/>
  <c r="M500" i="3"/>
  <c r="L501" i="3"/>
  <c r="M501" i="3"/>
  <c r="L502" i="3"/>
  <c r="M502" i="3"/>
  <c r="L503" i="3"/>
  <c r="M503" i="3"/>
  <c r="L504" i="3"/>
  <c r="M504" i="3"/>
  <c r="L505" i="3"/>
  <c r="M505" i="3"/>
  <c r="L506" i="3"/>
  <c r="M506" i="3"/>
  <c r="L507" i="3"/>
  <c r="M507" i="3"/>
  <c r="L508" i="3"/>
  <c r="M508" i="3"/>
  <c r="L509" i="3"/>
  <c r="M509" i="3"/>
  <c r="L510" i="3"/>
  <c r="M510" i="3"/>
  <c r="L511" i="3"/>
  <c r="M511" i="3"/>
  <c r="L512" i="3"/>
  <c r="M512" i="3"/>
  <c r="L513" i="3"/>
  <c r="M513" i="3"/>
  <c r="L514" i="3"/>
  <c r="M514" i="3"/>
  <c r="L515" i="3"/>
  <c r="M515" i="3"/>
  <c r="L516" i="3"/>
  <c r="M516" i="3"/>
  <c r="L517" i="3"/>
  <c r="M517" i="3"/>
  <c r="L518" i="3"/>
  <c r="M518" i="3"/>
  <c r="L519" i="3"/>
  <c r="M519" i="3"/>
  <c r="L520" i="3"/>
  <c r="M520" i="3"/>
  <c r="L521" i="3"/>
  <c r="M521" i="3"/>
  <c r="L522" i="3"/>
  <c r="M522" i="3"/>
  <c r="L523" i="3"/>
  <c r="M523" i="3"/>
  <c r="L524" i="3"/>
  <c r="M524" i="3"/>
  <c r="L525" i="3"/>
  <c r="M525" i="3"/>
  <c r="L526" i="3"/>
  <c r="M526" i="3"/>
  <c r="L527" i="3"/>
  <c r="M527" i="3"/>
  <c r="L528" i="3"/>
  <c r="M528" i="3"/>
  <c r="L529" i="3"/>
  <c r="M529" i="3"/>
  <c r="L530" i="3"/>
  <c r="M530" i="3"/>
  <c r="L531" i="3"/>
  <c r="M531" i="3"/>
  <c r="L532" i="3"/>
  <c r="M532" i="3"/>
  <c r="L533" i="3"/>
  <c r="M533" i="3"/>
  <c r="L534" i="3"/>
  <c r="M534" i="3"/>
  <c r="L535" i="3"/>
  <c r="M535" i="3"/>
  <c r="L536" i="3"/>
  <c r="M536" i="3"/>
  <c r="L537" i="3"/>
  <c r="M537" i="3"/>
  <c r="L538" i="3"/>
  <c r="M538" i="3"/>
  <c r="L539" i="3"/>
  <c r="M539" i="3"/>
  <c r="L540" i="3"/>
  <c r="M540" i="3"/>
  <c r="L541" i="3"/>
  <c r="M541" i="3"/>
  <c r="L542" i="3"/>
  <c r="M542" i="3"/>
  <c r="L543" i="3"/>
  <c r="M543" i="3"/>
  <c r="L544" i="3"/>
  <c r="M544" i="3"/>
  <c r="L545" i="3"/>
  <c r="M545" i="3"/>
  <c r="L546" i="3"/>
  <c r="M546" i="3"/>
  <c r="L547" i="3"/>
  <c r="M547" i="3"/>
  <c r="L548" i="3"/>
  <c r="M548" i="3"/>
  <c r="L549" i="3"/>
  <c r="M549" i="3"/>
  <c r="L550" i="3"/>
  <c r="M550" i="3"/>
  <c r="L551" i="3"/>
  <c r="M551" i="3"/>
  <c r="L552" i="3"/>
  <c r="M552" i="3"/>
  <c r="L553" i="3"/>
  <c r="M553" i="3"/>
  <c r="L554" i="3"/>
  <c r="M554" i="3"/>
  <c r="L555" i="3"/>
  <c r="M555" i="3"/>
  <c r="L556" i="3"/>
  <c r="M556" i="3"/>
  <c r="L557" i="3"/>
  <c r="M557" i="3"/>
  <c r="L558" i="3"/>
  <c r="M558" i="3"/>
  <c r="L559" i="3"/>
  <c r="M559" i="3"/>
  <c r="L560" i="3"/>
  <c r="M560" i="3"/>
  <c r="L561" i="3"/>
  <c r="M561" i="3"/>
  <c r="L562" i="3"/>
  <c r="M562" i="3"/>
  <c r="L563" i="3"/>
  <c r="M563" i="3"/>
  <c r="L564" i="3"/>
  <c r="M564" i="3"/>
  <c r="L565" i="3"/>
  <c r="M565" i="3"/>
  <c r="L566" i="3"/>
  <c r="M566" i="3"/>
  <c r="L567" i="3"/>
  <c r="M567" i="3"/>
  <c r="L568" i="3"/>
  <c r="M568" i="3"/>
  <c r="L569" i="3"/>
  <c r="M569" i="3"/>
  <c r="L570" i="3"/>
  <c r="M570" i="3"/>
  <c r="L571" i="3"/>
  <c r="M571" i="3"/>
  <c r="L572" i="3"/>
  <c r="M572" i="3"/>
  <c r="L573" i="3"/>
  <c r="M573" i="3"/>
  <c r="L574" i="3"/>
  <c r="M574" i="3"/>
  <c r="L575" i="3"/>
  <c r="M575" i="3"/>
  <c r="L576" i="3"/>
  <c r="M576" i="3"/>
  <c r="L577" i="3"/>
  <c r="M577" i="3"/>
  <c r="L578" i="3"/>
  <c r="M578" i="3"/>
  <c r="L579" i="3"/>
  <c r="M579" i="3"/>
  <c r="L580" i="3"/>
  <c r="M580" i="3"/>
  <c r="L581" i="3"/>
  <c r="M581" i="3"/>
  <c r="L582" i="3"/>
  <c r="M582" i="3"/>
  <c r="L583" i="3"/>
  <c r="M583" i="3"/>
  <c r="L584" i="3"/>
  <c r="M584" i="3"/>
  <c r="L585" i="3"/>
  <c r="M585" i="3"/>
  <c r="L586" i="3"/>
  <c r="M586" i="3"/>
  <c r="L587" i="3"/>
  <c r="M587" i="3"/>
  <c r="L588" i="3"/>
  <c r="M588" i="3"/>
  <c r="L589" i="3"/>
  <c r="M589" i="3"/>
  <c r="L590" i="3"/>
  <c r="M590" i="3"/>
  <c r="L591" i="3"/>
  <c r="M591" i="3"/>
  <c r="L592" i="3"/>
  <c r="M592" i="3"/>
  <c r="L593" i="3"/>
  <c r="M593" i="3"/>
  <c r="L594" i="3"/>
  <c r="M594" i="3"/>
  <c r="L595" i="3"/>
  <c r="M595" i="3"/>
  <c r="L596" i="3"/>
  <c r="M596" i="3"/>
  <c r="L597" i="3"/>
  <c r="M597" i="3"/>
  <c r="L598" i="3"/>
  <c r="M598" i="3"/>
  <c r="L599" i="3"/>
  <c r="M599" i="3"/>
  <c r="L600" i="3"/>
  <c r="M600" i="3"/>
  <c r="L601" i="3"/>
  <c r="M601" i="3"/>
  <c r="L602" i="3"/>
  <c r="M602" i="3"/>
  <c r="L603" i="3"/>
  <c r="M603" i="3"/>
  <c r="L604" i="3"/>
  <c r="M604" i="3"/>
  <c r="L605" i="3"/>
  <c r="M605" i="3"/>
  <c r="L606" i="3"/>
  <c r="M606" i="3"/>
  <c r="L607" i="3"/>
  <c r="M607" i="3"/>
  <c r="L608" i="3"/>
  <c r="M608" i="3"/>
  <c r="L609" i="3"/>
  <c r="M609" i="3"/>
  <c r="L610" i="3"/>
  <c r="M610" i="3"/>
  <c r="L611" i="3"/>
  <c r="M611" i="3"/>
  <c r="L612" i="3"/>
  <c r="M612" i="3"/>
  <c r="L613" i="3"/>
  <c r="M613" i="3"/>
  <c r="L614" i="3"/>
  <c r="M614" i="3"/>
  <c r="L615" i="3"/>
  <c r="M615" i="3"/>
  <c r="L616" i="3"/>
  <c r="M616" i="3"/>
  <c r="L617" i="3"/>
  <c r="M617" i="3"/>
  <c r="L618" i="3"/>
  <c r="M618" i="3"/>
  <c r="L619" i="3"/>
  <c r="M619" i="3"/>
  <c r="L620" i="3"/>
  <c r="M620" i="3"/>
  <c r="L621" i="3"/>
  <c r="M621" i="3"/>
  <c r="L622" i="3"/>
  <c r="M622" i="3"/>
  <c r="L623" i="3"/>
  <c r="M623" i="3"/>
  <c r="L624" i="3"/>
  <c r="M624" i="3"/>
  <c r="L625" i="3"/>
  <c r="M625" i="3"/>
  <c r="L626" i="3"/>
  <c r="M626" i="3"/>
  <c r="L627" i="3"/>
  <c r="M627" i="3"/>
  <c r="L628" i="3"/>
  <c r="M628" i="3"/>
  <c r="L629" i="3"/>
  <c r="M629" i="3"/>
  <c r="L630" i="3"/>
  <c r="M630" i="3"/>
  <c r="L631" i="3"/>
  <c r="M631" i="3"/>
  <c r="L632" i="3"/>
  <c r="M632" i="3"/>
  <c r="L633" i="3"/>
  <c r="M633" i="3"/>
  <c r="L634" i="3"/>
  <c r="M634" i="3"/>
  <c r="L635" i="3"/>
  <c r="M635" i="3"/>
  <c r="L636" i="3"/>
  <c r="M636" i="3"/>
  <c r="L637" i="3"/>
  <c r="M637" i="3"/>
  <c r="L638" i="3"/>
  <c r="M638" i="3"/>
  <c r="L639" i="3"/>
  <c r="M639" i="3"/>
  <c r="L640" i="3"/>
  <c r="M640" i="3"/>
  <c r="L641" i="3"/>
  <c r="M641" i="3"/>
  <c r="L642" i="3"/>
  <c r="M642" i="3"/>
  <c r="L643" i="3"/>
  <c r="M643" i="3"/>
  <c r="L644" i="3"/>
  <c r="M644" i="3"/>
  <c r="L645" i="3"/>
  <c r="M645" i="3"/>
  <c r="L646" i="3"/>
  <c r="M646" i="3"/>
  <c r="L647" i="3"/>
  <c r="M647" i="3"/>
  <c r="L648" i="3"/>
  <c r="M648" i="3"/>
  <c r="L649" i="3"/>
  <c r="M649" i="3"/>
  <c r="L650" i="3"/>
  <c r="M650" i="3"/>
  <c r="L651" i="3"/>
  <c r="M651" i="3"/>
  <c r="L652" i="3"/>
  <c r="M652" i="3"/>
  <c r="L653" i="3"/>
  <c r="M653" i="3"/>
  <c r="L654" i="3"/>
  <c r="M654" i="3"/>
  <c r="L655" i="3"/>
  <c r="M655" i="3"/>
  <c r="L656" i="3"/>
  <c r="M656" i="3"/>
  <c r="L657" i="3"/>
  <c r="M657" i="3"/>
  <c r="L658" i="3"/>
  <c r="M658" i="3"/>
  <c r="L659" i="3"/>
  <c r="M659" i="3"/>
  <c r="L660" i="3"/>
  <c r="M660" i="3"/>
  <c r="L661" i="3"/>
  <c r="M661" i="3"/>
  <c r="L662" i="3"/>
  <c r="M662" i="3"/>
  <c r="L663" i="3"/>
  <c r="M663" i="3"/>
  <c r="L664" i="3"/>
  <c r="M664" i="3"/>
  <c r="L665" i="3"/>
  <c r="M665" i="3"/>
  <c r="L666" i="3"/>
  <c r="M666" i="3"/>
  <c r="L667" i="3"/>
  <c r="M667" i="3"/>
  <c r="L668" i="3"/>
  <c r="M668" i="3"/>
  <c r="L669" i="3"/>
  <c r="M669" i="3"/>
  <c r="L670" i="3"/>
  <c r="M670" i="3"/>
  <c r="L671" i="3"/>
  <c r="M671" i="3"/>
  <c r="L672" i="3"/>
  <c r="M672" i="3"/>
  <c r="L673" i="3"/>
  <c r="M673" i="3"/>
  <c r="L674" i="3"/>
  <c r="M674" i="3"/>
  <c r="L675" i="3"/>
  <c r="M675" i="3"/>
  <c r="L676" i="3"/>
  <c r="M676" i="3"/>
  <c r="L677" i="3"/>
  <c r="M677" i="3"/>
  <c r="L678" i="3"/>
  <c r="M678" i="3"/>
  <c r="L679" i="3"/>
  <c r="M679" i="3"/>
  <c r="L680" i="3"/>
  <c r="M680" i="3"/>
  <c r="L681" i="3"/>
  <c r="M681" i="3"/>
  <c r="L682" i="3"/>
  <c r="M682" i="3"/>
  <c r="L683" i="3"/>
  <c r="M683" i="3"/>
  <c r="L684" i="3"/>
  <c r="M684" i="3"/>
  <c r="L685" i="3"/>
  <c r="M685" i="3"/>
  <c r="L686" i="3"/>
  <c r="M686" i="3"/>
  <c r="L687" i="3"/>
  <c r="M687" i="3"/>
  <c r="L688" i="3"/>
  <c r="M688" i="3"/>
  <c r="L689" i="3"/>
  <c r="M689" i="3"/>
  <c r="L690" i="3"/>
  <c r="M690" i="3"/>
  <c r="L691" i="3"/>
  <c r="M691" i="3"/>
  <c r="L692" i="3"/>
  <c r="M692" i="3"/>
  <c r="L693" i="3"/>
  <c r="M693" i="3"/>
  <c r="L694" i="3"/>
  <c r="M694" i="3"/>
  <c r="L695" i="3"/>
  <c r="M695" i="3"/>
  <c r="L696" i="3"/>
  <c r="M696" i="3"/>
  <c r="L697" i="3"/>
  <c r="M697" i="3"/>
  <c r="L698" i="3"/>
  <c r="M698" i="3"/>
  <c r="L699" i="3"/>
  <c r="M699" i="3"/>
  <c r="L700" i="3"/>
  <c r="M700" i="3"/>
  <c r="L701" i="3"/>
  <c r="M701" i="3"/>
  <c r="L702" i="3"/>
  <c r="M702" i="3"/>
  <c r="L703" i="3"/>
  <c r="M703" i="3"/>
  <c r="L704" i="3"/>
  <c r="M704" i="3"/>
  <c r="L705" i="3"/>
  <c r="M705" i="3"/>
  <c r="L706" i="3"/>
  <c r="M706" i="3"/>
  <c r="L707" i="3"/>
  <c r="M707" i="3"/>
  <c r="L708" i="3"/>
  <c r="M708" i="3"/>
  <c r="L709" i="3"/>
  <c r="M709" i="3"/>
  <c r="L710" i="3"/>
  <c r="M710" i="3"/>
  <c r="L711" i="3"/>
  <c r="M711" i="3"/>
  <c r="L712" i="3"/>
  <c r="M712" i="3"/>
  <c r="L713" i="3"/>
  <c r="M713" i="3"/>
  <c r="L714" i="3"/>
  <c r="M714" i="3"/>
  <c r="L715" i="3"/>
  <c r="M715" i="3"/>
  <c r="L716" i="3"/>
  <c r="M716" i="3"/>
  <c r="L717" i="3"/>
  <c r="M717" i="3"/>
  <c r="L718" i="3"/>
  <c r="M718" i="3"/>
  <c r="L719" i="3"/>
  <c r="M719" i="3"/>
  <c r="L720" i="3"/>
  <c r="M720" i="3"/>
  <c r="L721" i="3"/>
  <c r="M721" i="3"/>
  <c r="L722" i="3"/>
  <c r="M722" i="3"/>
  <c r="L723" i="3"/>
  <c r="M723" i="3"/>
  <c r="L724" i="3"/>
  <c r="M724" i="3"/>
  <c r="L725" i="3"/>
  <c r="M725" i="3"/>
  <c r="L726" i="3"/>
  <c r="M726" i="3"/>
  <c r="L727" i="3"/>
  <c r="M727" i="3"/>
  <c r="L728" i="3"/>
  <c r="M728" i="3"/>
  <c r="L729" i="3"/>
  <c r="M729" i="3"/>
  <c r="L730" i="3"/>
  <c r="M730" i="3"/>
  <c r="L731" i="3"/>
  <c r="M731" i="3"/>
  <c r="L732" i="3"/>
  <c r="M732" i="3"/>
  <c r="L733" i="3"/>
  <c r="M733" i="3"/>
  <c r="L734" i="3"/>
  <c r="M734" i="3"/>
  <c r="L735" i="3"/>
  <c r="M735" i="3"/>
  <c r="L736" i="3"/>
  <c r="M736" i="3"/>
  <c r="L737" i="3"/>
  <c r="M737" i="3"/>
  <c r="L738" i="3"/>
  <c r="M738" i="3"/>
  <c r="L739" i="3"/>
  <c r="M739" i="3"/>
  <c r="L740" i="3"/>
  <c r="M740" i="3"/>
  <c r="L741" i="3"/>
  <c r="M741" i="3"/>
  <c r="L742" i="3"/>
  <c r="M742" i="3"/>
  <c r="L743" i="3"/>
  <c r="M743" i="3"/>
  <c r="L744" i="3"/>
  <c r="M744" i="3"/>
  <c r="L745" i="3"/>
  <c r="M745" i="3"/>
  <c r="L746" i="3"/>
  <c r="M746" i="3"/>
  <c r="L747" i="3"/>
  <c r="M747" i="3"/>
  <c r="L748" i="3"/>
  <c r="M748" i="3"/>
  <c r="L749" i="3"/>
  <c r="M749" i="3"/>
  <c r="L750" i="3"/>
  <c r="M750" i="3"/>
  <c r="L751" i="3"/>
  <c r="M751" i="3"/>
  <c r="L752" i="3"/>
  <c r="M752" i="3"/>
  <c r="L753" i="3"/>
  <c r="M753" i="3"/>
  <c r="L754" i="3"/>
  <c r="M754" i="3"/>
  <c r="L755" i="3"/>
  <c r="M755" i="3"/>
  <c r="L756" i="3"/>
  <c r="M756" i="3"/>
  <c r="L757" i="3"/>
  <c r="M757" i="3"/>
  <c r="L758" i="3"/>
  <c r="M758" i="3"/>
  <c r="L759" i="3"/>
  <c r="M759" i="3"/>
  <c r="L760" i="3"/>
  <c r="M760" i="3"/>
  <c r="L761" i="3"/>
  <c r="M761" i="3"/>
  <c r="L762" i="3"/>
  <c r="M762" i="3"/>
  <c r="L763" i="3"/>
  <c r="M763" i="3"/>
  <c r="L764" i="3"/>
  <c r="M764" i="3"/>
  <c r="L765" i="3"/>
  <c r="M765" i="3"/>
  <c r="L766" i="3"/>
  <c r="M766" i="3"/>
  <c r="L767" i="3"/>
  <c r="M767" i="3"/>
  <c r="L768" i="3"/>
  <c r="M768" i="3"/>
  <c r="L769" i="3"/>
  <c r="M769" i="3"/>
  <c r="L770" i="3"/>
  <c r="M770" i="3"/>
  <c r="L771" i="3"/>
  <c r="M771" i="3"/>
  <c r="L772" i="3"/>
  <c r="M772" i="3"/>
  <c r="L773" i="3"/>
  <c r="M773" i="3"/>
  <c r="L774" i="3"/>
  <c r="M774" i="3"/>
  <c r="L775" i="3"/>
  <c r="M775" i="3"/>
  <c r="L776" i="3"/>
  <c r="M776" i="3"/>
  <c r="L777" i="3"/>
  <c r="M777" i="3"/>
  <c r="L778" i="3"/>
  <c r="M778" i="3"/>
  <c r="L779" i="3"/>
  <c r="M779" i="3"/>
  <c r="L780" i="3"/>
  <c r="M780" i="3"/>
  <c r="L781" i="3"/>
  <c r="M781" i="3"/>
  <c r="L782" i="3"/>
  <c r="M782" i="3"/>
  <c r="L783" i="3"/>
  <c r="M783" i="3"/>
  <c r="L784" i="3"/>
  <c r="M784" i="3"/>
  <c r="L785" i="3"/>
  <c r="M785" i="3"/>
  <c r="L786" i="3"/>
  <c r="M786" i="3"/>
  <c r="L787" i="3"/>
  <c r="M787" i="3"/>
  <c r="L788" i="3"/>
  <c r="M788" i="3"/>
  <c r="L789" i="3"/>
  <c r="M789" i="3"/>
  <c r="L790" i="3"/>
  <c r="M790" i="3"/>
  <c r="L791" i="3"/>
  <c r="M791" i="3"/>
  <c r="L792" i="3"/>
  <c r="M792" i="3"/>
  <c r="L793" i="3"/>
  <c r="M793" i="3"/>
  <c r="L794" i="3"/>
  <c r="M794" i="3"/>
  <c r="L795" i="3"/>
  <c r="M795" i="3"/>
  <c r="L796" i="3"/>
  <c r="M796" i="3"/>
  <c r="L797" i="3"/>
  <c r="M797" i="3"/>
  <c r="L798" i="3"/>
  <c r="M798" i="3"/>
  <c r="L799" i="3"/>
  <c r="M799" i="3"/>
  <c r="L800" i="3"/>
  <c r="M800" i="3"/>
  <c r="L801" i="3"/>
  <c r="M801" i="3"/>
  <c r="L802" i="3"/>
  <c r="M802" i="3"/>
  <c r="L803" i="3"/>
  <c r="M803" i="3"/>
  <c r="L804" i="3"/>
  <c r="M804" i="3"/>
  <c r="L805" i="3"/>
  <c r="M805" i="3"/>
  <c r="L806" i="3"/>
  <c r="M806" i="3"/>
  <c r="L807" i="3"/>
  <c r="M807" i="3"/>
  <c r="L808" i="3"/>
  <c r="M808" i="3"/>
  <c r="L809" i="3"/>
  <c r="M809" i="3"/>
  <c r="L810" i="3"/>
  <c r="M810" i="3"/>
  <c r="L811" i="3"/>
  <c r="M811" i="3"/>
  <c r="L812" i="3"/>
  <c r="M812" i="3"/>
  <c r="L813" i="3"/>
  <c r="M813" i="3"/>
  <c r="L814" i="3"/>
  <c r="M814" i="3"/>
  <c r="L815" i="3"/>
  <c r="M815" i="3"/>
  <c r="L816" i="3"/>
  <c r="M816" i="3"/>
  <c r="L817" i="3"/>
  <c r="M817" i="3"/>
  <c r="L818" i="3"/>
  <c r="M818" i="3"/>
  <c r="L819" i="3"/>
  <c r="M819" i="3"/>
  <c r="L820" i="3"/>
  <c r="M820" i="3"/>
  <c r="L821" i="3"/>
  <c r="M821" i="3"/>
  <c r="L822" i="3"/>
  <c r="M822" i="3"/>
  <c r="L823" i="3"/>
  <c r="M823" i="3"/>
  <c r="L824" i="3"/>
  <c r="M824" i="3"/>
  <c r="L825" i="3"/>
  <c r="M825" i="3"/>
  <c r="L826" i="3"/>
  <c r="M826" i="3"/>
  <c r="L827" i="3"/>
  <c r="M827" i="3"/>
  <c r="L828" i="3"/>
  <c r="M828" i="3"/>
  <c r="L829" i="3"/>
  <c r="M829" i="3"/>
  <c r="L830" i="3"/>
  <c r="M830" i="3"/>
  <c r="L831" i="3"/>
  <c r="M831" i="3"/>
  <c r="L832" i="3"/>
  <c r="M832" i="3"/>
  <c r="L833" i="3"/>
  <c r="M833" i="3"/>
  <c r="L834" i="3"/>
  <c r="M834" i="3"/>
  <c r="L835" i="3"/>
  <c r="M835" i="3"/>
  <c r="L836" i="3"/>
  <c r="M836" i="3"/>
  <c r="L837" i="3"/>
  <c r="M837" i="3"/>
  <c r="L838" i="3"/>
  <c r="M838" i="3"/>
  <c r="L839" i="3"/>
  <c r="M839" i="3"/>
  <c r="L840" i="3"/>
  <c r="M840" i="3"/>
  <c r="L841" i="3"/>
  <c r="M841" i="3"/>
  <c r="L842" i="3"/>
  <c r="M842" i="3"/>
  <c r="L843" i="3"/>
  <c r="M843" i="3"/>
  <c r="L844" i="3"/>
  <c r="M844" i="3"/>
  <c r="L845" i="3"/>
  <c r="M845" i="3"/>
  <c r="L846" i="3"/>
  <c r="M846" i="3"/>
  <c r="L847" i="3"/>
  <c r="M847" i="3"/>
  <c r="L848" i="3"/>
  <c r="M848" i="3"/>
  <c r="L849" i="3"/>
  <c r="M849" i="3"/>
  <c r="L850" i="3"/>
  <c r="M850" i="3"/>
  <c r="L851" i="3"/>
  <c r="M851" i="3"/>
  <c r="L852" i="3"/>
  <c r="M852" i="3"/>
  <c r="L853" i="3"/>
  <c r="M853" i="3"/>
  <c r="L854" i="3"/>
  <c r="M854" i="3"/>
  <c r="L855" i="3"/>
  <c r="M855" i="3"/>
  <c r="L856" i="3"/>
  <c r="M856" i="3"/>
  <c r="L857" i="3"/>
  <c r="M857" i="3"/>
  <c r="L858" i="3"/>
  <c r="M858" i="3"/>
  <c r="L859" i="3"/>
  <c r="M859" i="3"/>
  <c r="L860" i="3"/>
  <c r="M860" i="3"/>
  <c r="L861" i="3"/>
  <c r="M861" i="3"/>
  <c r="L862" i="3"/>
  <c r="M862" i="3"/>
  <c r="L863" i="3"/>
  <c r="M863" i="3"/>
  <c r="L864" i="3"/>
  <c r="M864" i="3"/>
  <c r="L865" i="3"/>
  <c r="M865" i="3"/>
  <c r="L866" i="3"/>
  <c r="M866" i="3"/>
  <c r="L867" i="3"/>
  <c r="M867" i="3"/>
  <c r="L868" i="3"/>
  <c r="M868" i="3"/>
  <c r="L869" i="3"/>
  <c r="M869" i="3"/>
  <c r="L870" i="3"/>
  <c r="M870" i="3"/>
  <c r="L871" i="3"/>
  <c r="M871" i="3"/>
  <c r="L872" i="3"/>
  <c r="M872" i="3"/>
  <c r="L873" i="3"/>
  <c r="M873" i="3"/>
  <c r="L874" i="3"/>
  <c r="M874" i="3"/>
  <c r="L875" i="3"/>
  <c r="M875" i="3"/>
  <c r="L876" i="3"/>
  <c r="M876" i="3"/>
  <c r="L877" i="3"/>
  <c r="M877" i="3"/>
  <c r="L878" i="3"/>
  <c r="M878" i="3"/>
  <c r="L879" i="3"/>
  <c r="M879" i="3"/>
  <c r="L880" i="3"/>
  <c r="M880" i="3"/>
  <c r="L881" i="3"/>
  <c r="M881" i="3"/>
  <c r="L882" i="3"/>
  <c r="M882" i="3"/>
  <c r="L883" i="3"/>
  <c r="M883" i="3"/>
  <c r="L884" i="3"/>
  <c r="M884" i="3"/>
  <c r="L885" i="3"/>
  <c r="M885" i="3"/>
  <c r="L886" i="3"/>
  <c r="M886" i="3"/>
  <c r="L887" i="3"/>
  <c r="M887" i="3"/>
  <c r="L888" i="3"/>
  <c r="M888" i="3"/>
  <c r="L889" i="3"/>
  <c r="M889" i="3"/>
  <c r="L890" i="3"/>
  <c r="M890" i="3"/>
  <c r="L891" i="3"/>
  <c r="M891" i="3"/>
  <c r="L892" i="3"/>
  <c r="M892" i="3"/>
  <c r="L893" i="3"/>
  <c r="M893" i="3"/>
  <c r="L894" i="3"/>
  <c r="M894" i="3"/>
  <c r="L895" i="3"/>
  <c r="M895" i="3"/>
  <c r="L896" i="3"/>
  <c r="M896" i="3"/>
  <c r="L897" i="3"/>
  <c r="M897" i="3"/>
  <c r="L898" i="3"/>
  <c r="M898" i="3"/>
  <c r="L899" i="3"/>
  <c r="M899" i="3"/>
  <c r="L900" i="3"/>
  <c r="M900" i="3"/>
  <c r="L901" i="3"/>
  <c r="M901" i="3"/>
  <c r="L902" i="3"/>
  <c r="M902" i="3"/>
  <c r="L903" i="3"/>
  <c r="M903" i="3"/>
  <c r="L904" i="3"/>
  <c r="M904" i="3"/>
  <c r="L905" i="3"/>
  <c r="M905" i="3"/>
  <c r="L906" i="3"/>
  <c r="M906" i="3"/>
  <c r="L907" i="3"/>
  <c r="M907" i="3"/>
  <c r="L908" i="3"/>
  <c r="M908" i="3"/>
  <c r="L909" i="3"/>
  <c r="M909" i="3"/>
  <c r="L910" i="3"/>
  <c r="M910" i="3"/>
  <c r="L911" i="3"/>
  <c r="M911" i="3"/>
  <c r="L912" i="3"/>
  <c r="M912" i="3"/>
  <c r="L913" i="3"/>
  <c r="M913" i="3"/>
  <c r="L914" i="3"/>
  <c r="M914" i="3"/>
  <c r="L915" i="3"/>
  <c r="M915" i="3"/>
  <c r="L916" i="3"/>
  <c r="M916" i="3"/>
  <c r="L917" i="3"/>
  <c r="M917" i="3"/>
  <c r="L918" i="3"/>
  <c r="M918" i="3"/>
  <c r="L919" i="3"/>
  <c r="M919" i="3"/>
  <c r="L920" i="3"/>
  <c r="M920" i="3"/>
  <c r="L921" i="3"/>
  <c r="M921" i="3"/>
  <c r="L922" i="3"/>
  <c r="M922" i="3"/>
  <c r="L923" i="3"/>
  <c r="M923" i="3"/>
  <c r="L924" i="3"/>
  <c r="M924" i="3"/>
  <c r="L925" i="3"/>
  <c r="M925" i="3"/>
  <c r="L926" i="3"/>
  <c r="M926" i="3"/>
  <c r="L927" i="3"/>
  <c r="M927" i="3"/>
  <c r="L928" i="3"/>
  <c r="M928" i="3"/>
  <c r="L929" i="3"/>
  <c r="M929" i="3"/>
  <c r="L930" i="3"/>
  <c r="M930" i="3"/>
  <c r="L931" i="3"/>
  <c r="M931" i="3"/>
  <c r="L932" i="3"/>
  <c r="M932" i="3"/>
  <c r="L933" i="3"/>
  <c r="M933" i="3"/>
  <c r="L934" i="3"/>
  <c r="M934" i="3"/>
  <c r="L935" i="3"/>
  <c r="M935" i="3"/>
  <c r="L936" i="3"/>
  <c r="M936" i="3"/>
  <c r="L937" i="3"/>
  <c r="M937" i="3"/>
  <c r="L938" i="3"/>
  <c r="M938" i="3"/>
  <c r="L939" i="3"/>
  <c r="M939" i="3"/>
  <c r="L940" i="3"/>
  <c r="M940" i="3"/>
  <c r="L941" i="3"/>
  <c r="M941" i="3"/>
  <c r="L942" i="3"/>
  <c r="M942" i="3"/>
  <c r="L943" i="3"/>
  <c r="M943" i="3"/>
  <c r="L944" i="3"/>
  <c r="M944" i="3"/>
  <c r="L945" i="3"/>
  <c r="M945" i="3"/>
  <c r="L946" i="3"/>
  <c r="M946" i="3"/>
  <c r="L947" i="3"/>
  <c r="M947" i="3"/>
  <c r="L948" i="3"/>
  <c r="M948" i="3"/>
  <c r="L949" i="3"/>
  <c r="M949" i="3"/>
  <c r="L950" i="3"/>
  <c r="M950" i="3"/>
  <c r="L951" i="3"/>
  <c r="M951" i="3"/>
  <c r="L952" i="3"/>
  <c r="M952" i="3"/>
  <c r="L953" i="3"/>
  <c r="M953" i="3"/>
  <c r="L954" i="3"/>
  <c r="M954" i="3"/>
  <c r="L955" i="3"/>
  <c r="M955" i="3"/>
  <c r="L956" i="3"/>
  <c r="M956" i="3"/>
  <c r="L957" i="3"/>
  <c r="M957" i="3"/>
  <c r="L958" i="3"/>
  <c r="M958" i="3"/>
  <c r="L959" i="3"/>
  <c r="M959" i="3"/>
  <c r="L960" i="3"/>
  <c r="M960" i="3"/>
  <c r="L961" i="3"/>
  <c r="M961" i="3"/>
  <c r="L962" i="3"/>
  <c r="M962" i="3"/>
  <c r="L963" i="3"/>
  <c r="M963" i="3"/>
  <c r="L964" i="3"/>
  <c r="M964" i="3"/>
  <c r="L965" i="3"/>
  <c r="M965" i="3"/>
  <c r="L966" i="3"/>
  <c r="M966" i="3"/>
  <c r="L967" i="3"/>
  <c r="M967" i="3"/>
  <c r="L968" i="3"/>
  <c r="M968" i="3"/>
  <c r="L969" i="3"/>
  <c r="M969" i="3"/>
  <c r="L970" i="3"/>
  <c r="M970" i="3"/>
  <c r="L971" i="3"/>
  <c r="M971" i="3"/>
  <c r="L972" i="3"/>
  <c r="M972" i="3"/>
  <c r="L973" i="3"/>
  <c r="M973" i="3"/>
  <c r="L974" i="3"/>
  <c r="M974" i="3"/>
  <c r="L975" i="3"/>
  <c r="M975" i="3"/>
  <c r="L976" i="3"/>
  <c r="M976" i="3"/>
  <c r="L977" i="3"/>
  <c r="M977" i="3"/>
  <c r="L978" i="3"/>
  <c r="M978" i="3"/>
  <c r="L979" i="3"/>
  <c r="M979" i="3"/>
  <c r="L980" i="3"/>
  <c r="M980" i="3"/>
  <c r="L981" i="3"/>
  <c r="M981" i="3"/>
  <c r="L982" i="3"/>
  <c r="M982" i="3"/>
  <c r="L983" i="3"/>
  <c r="M983" i="3"/>
  <c r="L984" i="3"/>
  <c r="M984" i="3"/>
  <c r="L985" i="3"/>
  <c r="M985" i="3"/>
  <c r="L986" i="3"/>
  <c r="M986" i="3"/>
  <c r="L987" i="3"/>
  <c r="M987" i="3"/>
  <c r="L988" i="3"/>
  <c r="M988" i="3"/>
  <c r="L989" i="3"/>
  <c r="M989" i="3"/>
  <c r="L990" i="3"/>
  <c r="M990" i="3"/>
  <c r="L991" i="3"/>
  <c r="M991" i="3"/>
  <c r="L992" i="3"/>
  <c r="M992" i="3"/>
  <c r="L993" i="3"/>
  <c r="M993" i="3"/>
  <c r="L994" i="3"/>
  <c r="M994" i="3"/>
  <c r="L995" i="3"/>
  <c r="M995" i="3"/>
  <c r="L996" i="3"/>
  <c r="M996" i="3"/>
  <c r="L997" i="3"/>
  <c r="M997" i="3"/>
  <c r="L998" i="3"/>
  <c r="M998" i="3"/>
  <c r="L999" i="3"/>
  <c r="M999" i="3"/>
  <c r="L1000" i="3"/>
  <c r="M1000" i="3"/>
  <c r="L1001" i="3"/>
  <c r="M1001" i="3"/>
  <c r="L1002" i="3"/>
  <c r="M1002" i="3"/>
  <c r="L1003" i="3"/>
  <c r="M1003" i="3"/>
  <c r="L1004" i="3"/>
  <c r="M1004" i="3"/>
  <c r="L1005" i="3"/>
  <c r="M1005" i="3"/>
  <c r="L1006" i="3"/>
  <c r="M1006" i="3"/>
  <c r="L1007" i="3"/>
  <c r="M1007" i="3"/>
  <c r="L1008" i="3"/>
  <c r="M1008" i="3"/>
  <c r="L1009" i="3"/>
  <c r="M1009" i="3"/>
  <c r="L1010" i="3"/>
  <c r="M1010" i="3"/>
  <c r="L1011" i="3"/>
  <c r="M1011" i="3"/>
  <c r="L1012" i="3"/>
  <c r="M1012" i="3"/>
  <c r="L1013" i="3"/>
  <c r="M1013" i="3"/>
  <c r="L1014" i="3"/>
  <c r="M1014" i="3"/>
  <c r="L1015" i="3"/>
  <c r="M1015" i="3"/>
  <c r="L1016" i="3"/>
  <c r="M1016" i="3"/>
  <c r="L1017" i="3"/>
  <c r="M1017" i="3"/>
  <c r="L1018" i="3"/>
  <c r="M1018" i="3"/>
  <c r="L1019" i="3"/>
  <c r="M1019" i="3"/>
  <c r="L1020" i="3"/>
  <c r="M1020" i="3"/>
  <c r="L1021" i="3"/>
  <c r="M1021" i="3"/>
  <c r="L1022" i="3"/>
  <c r="M1022" i="3"/>
  <c r="L1023" i="3"/>
  <c r="M1023" i="3"/>
  <c r="L1024" i="3"/>
  <c r="M1024" i="3"/>
  <c r="L1025" i="3"/>
  <c r="M1025" i="3"/>
  <c r="L1026" i="3"/>
  <c r="M1026" i="3"/>
  <c r="L1027" i="3"/>
  <c r="M1027" i="3"/>
  <c r="L1028" i="3"/>
  <c r="M1028" i="3"/>
  <c r="L1029" i="3"/>
  <c r="M1029" i="3"/>
  <c r="L1030" i="3"/>
  <c r="M1030" i="3"/>
  <c r="L1031" i="3"/>
  <c r="M1031" i="3"/>
  <c r="L1032" i="3"/>
  <c r="M1032" i="3"/>
  <c r="L1033" i="3"/>
  <c r="M1033" i="3"/>
  <c r="L1034" i="3"/>
  <c r="M1034" i="3"/>
  <c r="L1035" i="3"/>
  <c r="M1035" i="3"/>
  <c r="L1036" i="3"/>
  <c r="M1036" i="3"/>
  <c r="L1037" i="3"/>
  <c r="M1037" i="3"/>
  <c r="L1038" i="3"/>
  <c r="M1038" i="3"/>
  <c r="L1039" i="3"/>
  <c r="M1039" i="3"/>
  <c r="L1040" i="3"/>
  <c r="M1040" i="3"/>
  <c r="L1041" i="3"/>
  <c r="M1041" i="3"/>
  <c r="L1042" i="3"/>
  <c r="M1042" i="3"/>
  <c r="L1043" i="3"/>
  <c r="M1043" i="3"/>
  <c r="L1044" i="3"/>
  <c r="M1044" i="3"/>
  <c r="L1045" i="3"/>
  <c r="M1045" i="3"/>
  <c r="L1046" i="3"/>
  <c r="M1046" i="3"/>
  <c r="L1047" i="3"/>
  <c r="M1047" i="3"/>
  <c r="L1048" i="3"/>
  <c r="M1048" i="3"/>
  <c r="L1049" i="3"/>
  <c r="M1049" i="3"/>
  <c r="L1050" i="3"/>
  <c r="M1050" i="3"/>
  <c r="L1051" i="3"/>
  <c r="M1051" i="3"/>
  <c r="L1052" i="3"/>
  <c r="M1052" i="3"/>
  <c r="N64" i="7" l="1"/>
  <c r="N263" i="3"/>
  <c r="N286" i="3"/>
  <c r="N279" i="3"/>
  <c r="N738" i="3"/>
  <c r="N730" i="3"/>
  <c r="N726" i="3"/>
  <c r="N718" i="3"/>
  <c r="N714" i="3"/>
  <c r="N706" i="3"/>
  <c r="N702" i="3"/>
  <c r="N694" i="3"/>
  <c r="N690" i="3"/>
  <c r="N682" i="3"/>
  <c r="N678" i="3"/>
  <c r="N670" i="3"/>
  <c r="N666" i="3"/>
  <c r="N658" i="3"/>
  <c r="N654" i="3"/>
  <c r="N646" i="3"/>
  <c r="N642" i="3"/>
  <c r="N634" i="3"/>
  <c r="N630" i="3"/>
  <c r="N622" i="3"/>
  <c r="N618" i="3"/>
  <c r="N610" i="3"/>
  <c r="N606" i="3"/>
  <c r="N821" i="3"/>
  <c r="N1010" i="3"/>
  <c r="N1006" i="3"/>
  <c r="N998" i="3"/>
  <c r="N990" i="3"/>
  <c r="N950" i="3"/>
  <c r="N858" i="3"/>
  <c r="N560" i="3"/>
  <c r="N528" i="3"/>
  <c r="N436" i="3"/>
  <c r="N432" i="3"/>
  <c r="N420" i="3"/>
  <c r="N416" i="3"/>
  <c r="N388" i="3"/>
  <c r="N343" i="3"/>
  <c r="N153" i="3"/>
  <c r="N854" i="3"/>
  <c r="N906" i="3"/>
  <c r="N830" i="3"/>
  <c r="N598" i="3"/>
  <c r="N1015" i="3"/>
  <c r="N1011" i="3"/>
  <c r="N939" i="3"/>
  <c r="N879" i="3"/>
  <c r="N875" i="3"/>
  <c r="N448" i="3"/>
  <c r="N516" i="3"/>
  <c r="N1033" i="3"/>
  <c r="N909" i="3"/>
  <c r="N885" i="3"/>
  <c r="N805" i="3"/>
  <c r="N801" i="3"/>
  <c r="N777" i="3"/>
  <c r="N773" i="3"/>
  <c r="N765" i="3"/>
  <c r="N761" i="3"/>
  <c r="N753" i="3"/>
  <c r="N749" i="3"/>
  <c r="N745" i="3"/>
  <c r="N741" i="3"/>
  <c r="N737" i="3"/>
  <c r="N733" i="3"/>
  <c r="N729" i="3"/>
  <c r="N725" i="3"/>
  <c r="N721" i="3"/>
  <c r="N717" i="3"/>
  <c r="N713" i="3"/>
  <c r="N709" i="3"/>
  <c r="N705" i="3"/>
  <c r="N701" i="3"/>
  <c r="N697" i="3"/>
  <c r="N693" i="3"/>
  <c r="N689" i="3"/>
  <c r="N685" i="3"/>
  <c r="N681" i="3"/>
  <c r="N677" i="3"/>
  <c r="N673" i="3"/>
  <c r="N669" i="3"/>
  <c r="N665" i="3"/>
  <c r="N661" i="3"/>
  <c r="N657" i="3"/>
  <c r="N653" i="3"/>
  <c r="N649" i="3"/>
  <c r="N645" i="3"/>
  <c r="N641" i="3"/>
  <c r="N637" i="3"/>
  <c r="N633" i="3"/>
  <c r="N629" i="3"/>
  <c r="N625" i="3"/>
  <c r="N621" i="3"/>
  <c r="N918" i="3"/>
  <c r="N910" i="3"/>
  <c r="N811" i="3"/>
  <c r="N535" i="3"/>
  <c r="N527" i="3"/>
  <c r="N451" i="3"/>
  <c r="N534" i="3"/>
  <c r="N438" i="3"/>
  <c r="N1041" i="3"/>
  <c r="N1029" i="3"/>
  <c r="N981" i="3"/>
  <c r="N961" i="3"/>
  <c r="N949" i="3"/>
  <c r="N945" i="3"/>
  <c r="N941" i="3"/>
  <c r="N937" i="3"/>
  <c r="N933" i="3"/>
  <c r="N929" i="3"/>
  <c r="N806" i="3"/>
  <c r="N510" i="3"/>
  <c r="N813" i="3"/>
  <c r="N809" i="3"/>
  <c r="N494" i="3"/>
  <c r="N1045" i="3"/>
  <c r="N916" i="3"/>
  <c r="N440" i="3"/>
  <c r="N506" i="3"/>
  <c r="N486" i="3"/>
  <c r="N1035" i="3"/>
  <c r="N504" i="3"/>
  <c r="N1008" i="3"/>
  <c r="N905" i="3"/>
  <c r="N881" i="3"/>
  <c r="N877" i="3"/>
  <c r="N869" i="3"/>
  <c r="N861" i="3"/>
  <c r="N817" i="3"/>
  <c r="N798" i="3"/>
  <c r="N786" i="3"/>
  <c r="N782" i="3"/>
  <c r="N582" i="3"/>
  <c r="N578" i="3"/>
  <c r="N1026" i="3"/>
  <c r="N987" i="3"/>
  <c r="N979" i="3"/>
  <c r="N852" i="3"/>
  <c r="N848" i="3"/>
  <c r="N844" i="3"/>
  <c r="N588" i="3"/>
  <c r="N536" i="3"/>
  <c r="N1025" i="3"/>
  <c r="N985" i="3"/>
  <c r="N807" i="3"/>
  <c r="N492" i="3"/>
  <c r="N464" i="3"/>
  <c r="N913" i="3"/>
  <c r="N408" i="3"/>
  <c r="N139" i="3"/>
  <c r="N209" i="3"/>
  <c r="N938" i="3"/>
  <c r="N880" i="3"/>
  <c r="N841" i="3"/>
  <c r="N576" i="3"/>
  <c r="N964" i="3"/>
  <c r="N895" i="3"/>
  <c r="N825" i="3"/>
  <c r="N583" i="3"/>
  <c r="N556" i="3"/>
  <c r="N552" i="3"/>
  <c r="N540" i="3"/>
  <c r="N520" i="3"/>
  <c r="N927" i="3"/>
  <c r="N857" i="3"/>
  <c r="N564" i="3"/>
  <c r="N458" i="3"/>
  <c r="N1013" i="3"/>
  <c r="N1002" i="3"/>
  <c r="N902" i="3"/>
  <c r="N766" i="3"/>
  <c r="N472" i="3"/>
  <c r="N468" i="3"/>
  <c r="N1022" i="3"/>
  <c r="N833" i="3"/>
  <c r="N791" i="3"/>
  <c r="N751" i="3"/>
  <c r="N617" i="3"/>
  <c r="N572" i="3"/>
  <c r="N1009" i="3"/>
  <c r="N982" i="3"/>
  <c r="N955" i="3"/>
  <c r="N925" i="3"/>
  <c r="N917" i="3"/>
  <c r="N878" i="3"/>
  <c r="N797" i="3"/>
  <c r="N793" i="3"/>
  <c r="N789" i="3"/>
  <c r="N456" i="3"/>
  <c r="N444" i="3"/>
  <c r="N763" i="3"/>
  <c r="N1050" i="3"/>
  <c r="N1039" i="3"/>
  <c r="N1019" i="3"/>
  <c r="N997" i="3"/>
  <c r="N993" i="3"/>
  <c r="N978" i="3"/>
  <c r="N974" i="3"/>
  <c r="N958" i="3"/>
  <c r="N897" i="3"/>
  <c r="N893" i="3"/>
  <c r="N592" i="3"/>
  <c r="N558" i="3"/>
  <c r="N546" i="3"/>
  <c r="N538" i="3"/>
  <c r="N526" i="3"/>
  <c r="N479" i="3"/>
  <c r="N1007" i="3"/>
  <c r="N957" i="3"/>
  <c r="N865" i="3"/>
  <c r="N584" i="3"/>
  <c r="N478" i="3"/>
  <c r="N470" i="3"/>
  <c r="N992" i="3"/>
  <c r="N507" i="3"/>
  <c r="N488" i="3"/>
  <c r="N442" i="3"/>
  <c r="N423" i="3"/>
  <c r="N407" i="3"/>
  <c r="N235" i="3"/>
  <c r="N241" i="3"/>
  <c r="N401" i="3"/>
  <c r="N144" i="3"/>
  <c r="N999" i="3"/>
  <c r="N863" i="3"/>
  <c r="N762" i="3"/>
  <c r="N579" i="3"/>
  <c r="N977" i="3"/>
  <c r="N969" i="3"/>
  <c r="N965" i="3"/>
  <c r="N922" i="3"/>
  <c r="N896" i="3"/>
  <c r="N859" i="3"/>
  <c r="N851" i="3"/>
  <c r="N828" i="3"/>
  <c r="N613" i="3"/>
  <c r="N609" i="3"/>
  <c r="N605" i="3"/>
  <c r="N601" i="3"/>
  <c r="N480" i="3"/>
  <c r="N874" i="3"/>
  <c r="N746" i="3"/>
  <c r="N1038" i="3"/>
  <c r="N1027" i="3"/>
  <c r="N1023" i="3"/>
  <c r="N991" i="3"/>
  <c r="N953" i="3"/>
  <c r="N946" i="3"/>
  <c r="N943" i="3"/>
  <c r="N884" i="3"/>
  <c r="N873" i="3"/>
  <c r="N835" i="3"/>
  <c r="N824" i="3"/>
  <c r="N452" i="3"/>
  <c r="N1017" i="3"/>
  <c r="N889" i="3"/>
  <c r="N785" i="3"/>
  <c r="N1047" i="3"/>
  <c r="N983" i="3"/>
  <c r="N891" i="3"/>
  <c r="N883" i="3"/>
  <c r="N834" i="3"/>
  <c r="N812" i="3"/>
  <c r="N756" i="3"/>
  <c r="N740" i="3"/>
  <c r="N728" i="3"/>
  <c r="N716" i="3"/>
  <c r="N704" i="3"/>
  <c r="N692" i="3"/>
  <c r="N680" i="3"/>
  <c r="N668" i="3"/>
  <c r="N656" i="3"/>
  <c r="N644" i="3"/>
  <c r="N632" i="3"/>
  <c r="N620" i="3"/>
  <c r="N608" i="3"/>
  <c r="N596" i="3"/>
  <c r="N562" i="3"/>
  <c r="N463" i="3"/>
  <c r="N459" i="3"/>
  <c r="N934" i="3"/>
  <c r="N901" i="3"/>
  <c r="N886" i="3"/>
  <c r="N849" i="3"/>
  <c r="N845" i="3"/>
  <c r="N822" i="3"/>
  <c r="N775" i="3"/>
  <c r="N524" i="3"/>
  <c r="N512" i="3"/>
  <c r="N474" i="3"/>
  <c r="N1042" i="3"/>
  <c r="N970" i="3"/>
  <c r="N966" i="3"/>
  <c r="N829" i="3"/>
  <c r="N814" i="3"/>
  <c r="N542" i="3"/>
  <c r="N454" i="3"/>
  <c r="N9" i="3"/>
  <c r="N394" i="3"/>
  <c r="N117" i="3"/>
  <c r="N324" i="3"/>
  <c r="N274" i="3"/>
  <c r="N120" i="3"/>
  <c r="N101" i="3"/>
  <c r="N205" i="3"/>
  <c r="N80" i="3"/>
  <c r="N240" i="3"/>
  <c r="N178" i="3"/>
  <c r="N322" i="3"/>
  <c r="N422" i="3"/>
  <c r="N414" i="3"/>
  <c r="N186" i="3"/>
  <c r="N398" i="3"/>
  <c r="N393" i="3"/>
  <c r="N429" i="3"/>
  <c r="N392" i="3"/>
  <c r="N396" i="3"/>
  <c r="N306" i="3"/>
  <c r="N172" i="3"/>
  <c r="N43" i="3"/>
  <c r="N177" i="3"/>
  <c r="N34" i="3"/>
  <c r="N163" i="3"/>
  <c r="N181" i="3"/>
  <c r="N89" i="3"/>
  <c r="N253" i="3"/>
  <c r="N314" i="3"/>
  <c r="N313" i="3"/>
  <c r="N106" i="3"/>
  <c r="N169" i="3"/>
  <c r="N64" i="3"/>
  <c r="N339" i="3"/>
  <c r="N21" i="3"/>
  <c r="N93" i="3"/>
  <c r="N190" i="3"/>
  <c r="N327" i="3"/>
  <c r="N333" i="3"/>
  <c r="N61" i="3"/>
  <c r="N296" i="3"/>
  <c r="N278" i="3"/>
  <c r="N99" i="3"/>
  <c r="N406" i="3"/>
  <c r="N57" i="3"/>
  <c r="N161" i="3"/>
  <c r="N102" i="3"/>
  <c r="N402" i="3"/>
  <c r="N374" i="3"/>
  <c r="N358" i="3"/>
  <c r="N297" i="3"/>
  <c r="N293" i="3"/>
  <c r="N145" i="3"/>
  <c r="N210" i="3"/>
  <c r="N63" i="3"/>
  <c r="N248" i="3"/>
  <c r="N87" i="3"/>
  <c r="N188" i="3"/>
  <c r="N35" i="3"/>
  <c r="N159" i="3"/>
  <c r="N251" i="3"/>
  <c r="N176" i="3"/>
  <c r="N59" i="3"/>
  <c r="N260" i="3"/>
  <c r="N319" i="3"/>
  <c r="N353" i="3"/>
  <c r="N151" i="3"/>
  <c r="N405" i="3"/>
  <c r="N113" i="3"/>
  <c r="N65" i="3"/>
  <c r="N141" i="3"/>
  <c r="N259" i="3"/>
  <c r="N68" i="3"/>
  <c r="N19" i="3"/>
  <c r="N56" i="3"/>
  <c r="N182" i="3"/>
  <c r="N82" i="3"/>
  <c r="N118" i="3"/>
  <c r="N168" i="3"/>
  <c r="N385" i="3"/>
  <c r="N375" i="3"/>
  <c r="N373" i="3"/>
  <c r="N12" i="3"/>
  <c r="N29" i="3"/>
  <c r="N39" i="3"/>
  <c r="N133" i="3"/>
  <c r="N236" i="3"/>
  <c r="N148" i="3"/>
  <c r="N75" i="3"/>
  <c r="N202" i="3"/>
  <c r="N52" i="3"/>
  <c r="N342" i="3"/>
  <c r="N215" i="3"/>
  <c r="N328" i="3"/>
  <c r="N257" i="3"/>
  <c r="N157" i="3"/>
  <c r="N303" i="3"/>
  <c r="N426" i="3"/>
  <c r="N175" i="3"/>
  <c r="N268" i="3"/>
  <c r="N32" i="3"/>
  <c r="N359" i="3"/>
  <c r="N216" i="3"/>
  <c r="N41" i="3"/>
  <c r="N335" i="3"/>
  <c r="N295" i="3"/>
  <c r="N289" i="3"/>
  <c r="N112" i="3"/>
  <c r="N238" i="3"/>
  <c r="N218" i="3"/>
  <c r="N201" i="3"/>
  <c r="N330" i="3"/>
  <c r="N309" i="3"/>
  <c r="N221" i="3"/>
  <c r="N732" i="3"/>
  <c r="N696" i="3"/>
  <c r="N660" i="3"/>
  <c r="N482" i="3"/>
  <c r="N152" i="3"/>
  <c r="N1037" i="3"/>
  <c r="N921" i="3"/>
  <c r="N856" i="3"/>
  <c r="N779" i="3"/>
  <c r="N549" i="3"/>
  <c r="N111" i="3"/>
  <c r="N975" i="3"/>
  <c r="N898" i="3"/>
  <c r="N719" i="3"/>
  <c r="N683" i="3"/>
  <c r="N647" i="3"/>
  <c r="N599" i="3"/>
  <c r="N947" i="3"/>
  <c r="N920" i="3"/>
  <c r="N887" i="3"/>
  <c r="N810" i="3"/>
  <c r="N559" i="3"/>
  <c r="N390" i="3"/>
  <c r="N194" i="3"/>
  <c r="N892" i="3"/>
  <c r="N815" i="3"/>
  <c r="N664" i="3"/>
  <c r="N962" i="3"/>
  <c r="N586" i="3"/>
  <c r="N389" i="3"/>
  <c r="N367" i="3"/>
  <c r="N203" i="3"/>
  <c r="N1040" i="3"/>
  <c r="N735" i="3"/>
  <c r="N711" i="3"/>
  <c r="N699" i="3"/>
  <c r="N675" i="3"/>
  <c r="N651" i="3"/>
  <c r="N639" i="3"/>
  <c r="N627" i="3"/>
  <c r="N615" i="3"/>
  <c r="N603" i="3"/>
  <c r="N597" i="3"/>
  <c r="N591" i="3"/>
  <c r="N450" i="3"/>
  <c r="N439" i="3"/>
  <c r="N428" i="3"/>
  <c r="N338" i="3"/>
  <c r="N51" i="3"/>
  <c r="N45" i="3"/>
  <c r="N744" i="3"/>
  <c r="N720" i="3"/>
  <c r="N648" i="3"/>
  <c r="N624" i="3"/>
  <c r="N370" i="3"/>
  <c r="N915" i="3"/>
  <c r="N543" i="3"/>
  <c r="N228" i="3"/>
  <c r="N743" i="3"/>
  <c r="N695" i="3"/>
  <c r="N635" i="3"/>
  <c r="N611" i="3"/>
  <c r="N554" i="3"/>
  <c r="N503" i="3"/>
  <c r="N11" i="3"/>
  <c r="N548" i="3"/>
  <c r="N525" i="3"/>
  <c r="N271" i="3"/>
  <c r="N748" i="3"/>
  <c r="N700" i="3"/>
  <c r="N676" i="3"/>
  <c r="N919" i="3"/>
  <c r="N804" i="3"/>
  <c r="N771" i="3"/>
  <c r="N575" i="3"/>
  <c r="N547" i="3"/>
  <c r="N973" i="3"/>
  <c r="N759" i="3"/>
  <c r="N687" i="3"/>
  <c r="N956" i="3"/>
  <c r="N853" i="3"/>
  <c r="N836" i="3"/>
  <c r="N803" i="3"/>
  <c r="N776" i="3"/>
  <c r="N770" i="3"/>
  <c r="N411" i="3"/>
  <c r="N162" i="3"/>
  <c r="N399" i="3"/>
  <c r="N237" i="3"/>
  <c r="N383" i="3"/>
  <c r="N137" i="3"/>
  <c r="N121" i="3"/>
  <c r="N81" i="3"/>
  <c r="N103" i="3"/>
  <c r="N136" i="3"/>
  <c r="N275" i="3"/>
  <c r="N232" i="3"/>
  <c r="N976" i="3"/>
  <c r="N684" i="3"/>
  <c r="N636" i="3"/>
  <c r="N612" i="3"/>
  <c r="N555" i="3"/>
  <c r="N476" i="3"/>
  <c r="N126" i="3"/>
  <c r="N904" i="3"/>
  <c r="N882" i="3"/>
  <c r="N795" i="3"/>
  <c r="N767" i="3"/>
  <c r="N571" i="3"/>
  <c r="N487" i="3"/>
  <c r="N230" i="3"/>
  <c r="N142" i="3"/>
  <c r="N1021" i="3"/>
  <c r="N995" i="3"/>
  <c r="N926" i="3"/>
  <c r="N707" i="3"/>
  <c r="N671" i="3"/>
  <c r="N623" i="3"/>
  <c r="N514" i="3"/>
  <c r="N357" i="3"/>
  <c r="N83" i="3"/>
  <c r="N73" i="3"/>
  <c r="N952" i="3"/>
  <c r="N914" i="3"/>
  <c r="N855" i="3"/>
  <c r="N794" i="3"/>
  <c r="N531" i="3"/>
  <c r="N325" i="3"/>
  <c r="N204" i="3"/>
  <c r="N1046" i="3"/>
  <c r="N783" i="3"/>
  <c r="N760" i="3"/>
  <c r="N736" i="3"/>
  <c r="N712" i="3"/>
  <c r="N688" i="3"/>
  <c r="N640" i="3"/>
  <c r="N616" i="3"/>
  <c r="N7" i="3"/>
  <c r="N930" i="3"/>
  <c r="N831" i="3"/>
  <c r="N788" i="3"/>
  <c r="N462" i="3"/>
  <c r="N134" i="3"/>
  <c r="N363" i="3"/>
  <c r="N967" i="3"/>
  <c r="N842" i="3"/>
  <c r="N747" i="3"/>
  <c r="N663" i="3"/>
  <c r="N940" i="3"/>
  <c r="N924" i="3"/>
  <c r="N847" i="3"/>
  <c r="N787" i="3"/>
  <c r="N1003" i="3"/>
  <c r="N972" i="3"/>
  <c r="N846" i="3"/>
  <c r="N819" i="3"/>
  <c r="N511" i="3"/>
  <c r="N500" i="3"/>
  <c r="N484" i="3"/>
  <c r="N466" i="3"/>
  <c r="N455" i="3"/>
  <c r="N427" i="3"/>
  <c r="N193" i="3"/>
  <c r="N249" i="3"/>
  <c r="N47" i="3"/>
  <c r="N187" i="3"/>
  <c r="N174" i="3"/>
  <c r="N280" i="3"/>
  <c r="N1051" i="3"/>
  <c r="N115" i="3"/>
  <c r="N935" i="3"/>
  <c r="N820" i="3"/>
  <c r="N460" i="3"/>
  <c r="N348" i="3"/>
  <c r="N404" i="3"/>
  <c r="N198" i="3"/>
  <c r="N196" i="3"/>
  <c r="N382" i="3"/>
  <c r="N350" i="3"/>
  <c r="N58" i="3"/>
  <c r="N301" i="3"/>
  <c r="N282" i="3"/>
  <c r="N1001" i="3"/>
  <c r="N986" i="3"/>
  <c r="N899" i="3"/>
  <c r="N867" i="3"/>
  <c r="N750" i="3"/>
  <c r="N708" i="3"/>
  <c r="N672" i="3"/>
  <c r="N600" i="3"/>
  <c r="N192" i="3"/>
  <c r="N872" i="3"/>
  <c r="N850" i="3"/>
  <c r="N800" i="3"/>
  <c r="N532" i="3"/>
  <c r="N24" i="3"/>
  <c r="N30" i="3"/>
  <c r="N1031" i="3"/>
  <c r="N866" i="3"/>
  <c r="N755" i="3"/>
  <c r="N731" i="3"/>
  <c r="N659" i="3"/>
  <c r="N199" i="3"/>
  <c r="N931" i="3"/>
  <c r="N903" i="3"/>
  <c r="N871" i="3"/>
  <c r="N799" i="3"/>
  <c r="N778" i="3"/>
  <c r="N519" i="3"/>
  <c r="N155" i="3"/>
  <c r="N366" i="3"/>
  <c r="N98" i="3"/>
  <c r="N299" i="3"/>
  <c r="N1030" i="3"/>
  <c r="N826" i="3"/>
  <c r="N754" i="3"/>
  <c r="N724" i="3"/>
  <c r="N652" i="3"/>
  <c r="N628" i="3"/>
  <c r="N604" i="3"/>
  <c r="N951" i="3"/>
  <c r="N908" i="3"/>
  <c r="N837" i="3"/>
  <c r="N434" i="3"/>
  <c r="N412" i="3"/>
  <c r="N8" i="3"/>
  <c r="N723" i="3"/>
  <c r="N1049" i="3"/>
  <c r="N971" i="3"/>
  <c r="N900" i="3"/>
  <c r="N894" i="3"/>
  <c r="N868" i="3"/>
  <c r="N862" i="3"/>
  <c r="N566" i="3"/>
  <c r="N550" i="3"/>
  <c r="N544" i="3"/>
  <c r="N499" i="3"/>
  <c r="N483" i="3"/>
  <c r="N477" i="3"/>
  <c r="N471" i="3"/>
  <c r="N76" i="3"/>
  <c r="N415" i="3"/>
  <c r="N242" i="3"/>
  <c r="N28" i="3"/>
  <c r="N355" i="3"/>
  <c r="N124" i="3"/>
  <c r="N20" i="3"/>
  <c r="N85" i="3"/>
  <c r="N234" i="3"/>
  <c r="N132" i="3"/>
  <c r="N1043" i="3"/>
  <c r="N1034" i="3"/>
  <c r="N1024" i="3"/>
  <c r="N1014" i="3"/>
  <c r="N1005" i="3"/>
  <c r="N994" i="3"/>
  <c r="N980" i="3"/>
  <c r="N959" i="3"/>
  <c r="N954" i="3"/>
  <c r="N928" i="3"/>
  <c r="N923" i="3"/>
  <c r="N907" i="3"/>
  <c r="N876" i="3"/>
  <c r="N870" i="3"/>
  <c r="N860" i="3"/>
  <c r="N839" i="3"/>
  <c r="N823" i="3"/>
  <c r="N818" i="3"/>
  <c r="N802" i="3"/>
  <c r="N781" i="3"/>
  <c r="N769" i="3"/>
  <c r="N764" i="3"/>
  <c r="N758" i="3"/>
  <c r="N752" i="3"/>
  <c r="N734" i="3"/>
  <c r="N722" i="3"/>
  <c r="N710" i="3"/>
  <c r="N698" i="3"/>
  <c r="N686" i="3"/>
  <c r="N674" i="3"/>
  <c r="N662" i="3"/>
  <c r="N650" i="3"/>
  <c r="N638" i="3"/>
  <c r="N626" i="3"/>
  <c r="N614" i="3"/>
  <c r="N602" i="3"/>
  <c r="N590" i="3"/>
  <c r="N580" i="3"/>
  <c r="N574" i="3"/>
  <c r="N568" i="3"/>
  <c r="N530" i="3"/>
  <c r="N518" i="3"/>
  <c r="N508" i="3"/>
  <c r="N502" i="3"/>
  <c r="N496" i="3"/>
  <c r="N475" i="3"/>
  <c r="N453" i="3"/>
  <c r="N447" i="3"/>
  <c r="N431" i="3"/>
  <c r="N403" i="3"/>
  <c r="N116" i="3"/>
  <c r="N250" i="3"/>
  <c r="N226" i="3"/>
  <c r="N195" i="3"/>
  <c r="N380" i="3"/>
  <c r="N356" i="3"/>
  <c r="N352" i="3"/>
  <c r="N95" i="3"/>
  <c r="N208" i="3"/>
  <c r="N326" i="3"/>
  <c r="N48" i="3"/>
  <c r="N262" i="3"/>
  <c r="N294" i="3"/>
  <c r="N225" i="3"/>
  <c r="N158" i="3"/>
  <c r="N86" i="3"/>
  <c r="N171" i="3"/>
  <c r="N13" i="3"/>
  <c r="N97" i="3"/>
  <c r="N989" i="3"/>
  <c r="N838" i="3"/>
  <c r="N757" i="3"/>
  <c r="N446" i="3"/>
  <c r="N430" i="3"/>
  <c r="N424" i="3"/>
  <c r="N378" i="3"/>
  <c r="N92" i="3"/>
  <c r="N50" i="3"/>
  <c r="N1018" i="3"/>
  <c r="N963" i="3"/>
  <c r="N948" i="3"/>
  <c r="N942" i="3"/>
  <c r="N932" i="3"/>
  <c r="N911" i="3"/>
  <c r="N890" i="3"/>
  <c r="N843" i="3"/>
  <c r="N827" i="3"/>
  <c r="N796" i="3"/>
  <c r="N790" i="3"/>
  <c r="N774" i="3"/>
  <c r="N739" i="3"/>
  <c r="N727" i="3"/>
  <c r="N715" i="3"/>
  <c r="N703" i="3"/>
  <c r="N691" i="3"/>
  <c r="N679" i="3"/>
  <c r="N667" i="3"/>
  <c r="N655" i="3"/>
  <c r="N643" i="3"/>
  <c r="N631" i="3"/>
  <c r="N619" i="3"/>
  <c r="N607" i="3"/>
  <c r="N595" i="3"/>
  <c r="N573" i="3"/>
  <c r="N567" i="3"/>
  <c r="N551" i="3"/>
  <c r="N523" i="3"/>
  <c r="N501" i="3"/>
  <c r="N495" i="3"/>
  <c r="N490" i="3"/>
  <c r="N435" i="3"/>
  <c r="N418" i="3"/>
  <c r="N386" i="3"/>
  <c r="N166" i="3"/>
  <c r="N125" i="3"/>
  <c r="N311" i="3"/>
  <c r="N410" i="3"/>
  <c r="N239" i="3"/>
  <c r="N277" i="3"/>
  <c r="N400" i="3"/>
  <c r="N77" i="3"/>
  <c r="N88" i="3"/>
  <c r="N154" i="3"/>
  <c r="N245" i="3"/>
  <c r="N217" i="3"/>
  <c r="N244" i="3"/>
  <c r="N72" i="3"/>
  <c r="N44" i="3"/>
  <c r="N302" i="3"/>
  <c r="N307" i="3"/>
  <c r="N109" i="3"/>
  <c r="N316" i="3"/>
  <c r="N233" i="3"/>
  <c r="N387" i="3"/>
  <c r="N243" i="3"/>
  <c r="N74" i="3"/>
  <c r="N71" i="3"/>
  <c r="N16" i="3"/>
  <c r="N100" i="3"/>
  <c r="N315" i="3"/>
  <c r="N15" i="3"/>
  <c r="N365" i="3"/>
  <c r="N320" i="3"/>
  <c r="N14" i="3"/>
  <c r="N340" i="3"/>
  <c r="N292" i="3"/>
  <c r="N214" i="3"/>
  <c r="N78" i="3"/>
  <c r="N165" i="3"/>
  <c r="N269" i="3"/>
  <c r="N191" i="3"/>
  <c r="N128" i="3"/>
  <c r="N255" i="3"/>
  <c r="N38" i="3"/>
  <c r="N79" i="3"/>
  <c r="N62" i="3"/>
  <c r="N371" i="3"/>
  <c r="N354" i="3"/>
  <c r="N150" i="3"/>
  <c r="N108" i="3"/>
  <c r="N69" i="3"/>
  <c r="N66" i="3"/>
  <c r="N334" i="3"/>
  <c r="N104" i="3"/>
  <c r="N90" i="3"/>
  <c r="N183" i="3"/>
  <c r="N37" i="3"/>
  <c r="N252" i="3"/>
  <c r="N179" i="3"/>
  <c r="N256" i="3"/>
  <c r="N10" i="3"/>
  <c r="N223" i="3"/>
  <c r="N272" i="3"/>
  <c r="N341" i="3"/>
  <c r="N25" i="3"/>
  <c r="N298" i="3"/>
  <c r="N67" i="3"/>
  <c r="N185" i="3"/>
  <c r="N140" i="3"/>
  <c r="N149" i="3"/>
  <c r="N219" i="3"/>
  <c r="N290" i="3"/>
  <c r="N267" i="3"/>
  <c r="N231" i="3"/>
  <c r="N351" i="3"/>
  <c r="N318" i="3"/>
  <c r="N283" i="3"/>
  <c r="N107" i="3"/>
  <c r="N122" i="3"/>
  <c r="N285" i="3"/>
  <c r="N131" i="3"/>
  <c r="N114" i="3"/>
  <c r="N206" i="3"/>
  <c r="N127" i="3"/>
  <c r="N156" i="3"/>
  <c r="N211" i="3"/>
  <c r="N281" i="3"/>
  <c r="N167" i="3"/>
  <c r="N180" i="3"/>
  <c r="N94" i="3"/>
  <c r="N312" i="3"/>
  <c r="N220" i="3"/>
  <c r="N130" i="3"/>
  <c r="N119" i="3"/>
  <c r="N46" i="3"/>
  <c r="N123" i="3"/>
  <c r="N337" i="3"/>
  <c r="N317" i="3"/>
  <c r="N287" i="3"/>
  <c r="N376" i="3"/>
  <c r="N138" i="3"/>
  <c r="N247" i="3"/>
  <c r="N55" i="3"/>
  <c r="N349" i="3"/>
  <c r="N42" i="3"/>
  <c r="N346" i="3"/>
  <c r="N336" i="3"/>
  <c r="N329" i="3"/>
  <c r="N321" i="3"/>
  <c r="N224" i="3"/>
  <c r="N229" i="3"/>
  <c r="N84" i="3"/>
  <c r="N291" i="3"/>
  <c r="N288" i="3"/>
  <c r="N284" i="3"/>
  <c r="N53" i="3"/>
  <c r="N70" i="3"/>
  <c r="N362" i="3"/>
  <c r="N96" i="3"/>
  <c r="N332" i="3"/>
  <c r="N129" i="3"/>
  <c r="N160" i="3"/>
  <c r="N22" i="3"/>
  <c r="N40" i="3"/>
  <c r="N305" i="3"/>
  <c r="N173" i="3"/>
  <c r="N213" i="3"/>
  <c r="N261" i="3"/>
  <c r="N276" i="3"/>
  <c r="N273" i="3"/>
  <c r="N270" i="3"/>
  <c r="N189" i="3"/>
  <c r="N49" i="3"/>
  <c r="N170" i="3"/>
  <c r="N361" i="3"/>
  <c r="N33" i="3"/>
  <c r="N347" i="3"/>
  <c r="N384" i="3"/>
  <c r="N345" i="3"/>
  <c r="N143" i="3"/>
  <c r="N184" i="3"/>
  <c r="N207" i="3"/>
  <c r="N110" i="3"/>
  <c r="N246" i="3"/>
  <c r="N23" i="3"/>
  <c r="N308" i="3"/>
  <c r="N146" i="3"/>
  <c r="N164" i="3"/>
  <c r="N300" i="3"/>
  <c r="N304" i="3"/>
  <c r="N31" i="3"/>
  <c r="N266" i="3"/>
  <c r="N344" i="3"/>
  <c r="N331" i="3"/>
  <c r="N36" i="3"/>
  <c r="N265" i="3"/>
  <c r="N1012" i="3"/>
  <c r="N832" i="3"/>
  <c r="N808" i="3"/>
  <c r="N784" i="3"/>
  <c r="N768" i="3"/>
  <c r="N1016" i="3"/>
  <c r="N1020" i="3"/>
  <c r="N323" i="3"/>
  <c r="N772" i="3"/>
  <c r="N960" i="3"/>
  <c r="N912" i="3"/>
  <c r="N864" i="3"/>
  <c r="N840" i="3"/>
  <c r="N816" i="3"/>
  <c r="N792" i="3"/>
  <c r="N369" i="3"/>
  <c r="N1028" i="3"/>
  <c r="N1032" i="3"/>
  <c r="N984" i="3"/>
  <c r="N936" i="3"/>
  <c r="N888" i="3"/>
  <c r="N1036" i="3"/>
  <c r="N988" i="3"/>
  <c r="N594" i="3"/>
  <c r="N522" i="3"/>
  <c r="N996" i="3"/>
  <c r="N1044" i="3"/>
  <c r="N1048" i="3"/>
  <c r="N1000" i="3"/>
  <c r="N968" i="3"/>
  <c r="N944" i="3"/>
  <c r="N1052" i="3"/>
  <c r="N1004" i="3"/>
  <c r="N780" i="3"/>
  <c r="N742" i="3"/>
  <c r="N570" i="3"/>
  <c r="N498" i="3"/>
  <c r="N589" i="3"/>
  <c r="N565" i="3"/>
  <c r="N541" i="3"/>
  <c r="N517" i="3"/>
  <c r="N493" i="3"/>
  <c r="N469" i="3"/>
  <c r="N445" i="3"/>
  <c r="N421" i="3"/>
  <c r="N397" i="3"/>
  <c r="N381" i="3"/>
  <c r="N222" i="3"/>
  <c r="N227" i="3"/>
  <c r="N593" i="3"/>
  <c r="N569" i="3"/>
  <c r="N545" i="3"/>
  <c r="N521" i="3"/>
  <c r="N497" i="3"/>
  <c r="N473" i="3"/>
  <c r="N449" i="3"/>
  <c r="N425" i="3"/>
  <c r="N197" i="3"/>
  <c r="N18" i="3"/>
  <c r="N17" i="3"/>
  <c r="N364" i="3"/>
  <c r="N254" i="3"/>
  <c r="N27" i="3"/>
  <c r="N587" i="3"/>
  <c r="N563" i="3"/>
  <c r="N539" i="3"/>
  <c r="N515" i="3"/>
  <c r="N491" i="3"/>
  <c r="N467" i="3"/>
  <c r="N443" i="3"/>
  <c r="N419" i="3"/>
  <c r="N395" i="3"/>
  <c r="N379" i="3"/>
  <c r="N372" i="3"/>
  <c r="N310" i="3"/>
  <c r="N577" i="3"/>
  <c r="N553" i="3"/>
  <c r="N529" i="3"/>
  <c r="N505" i="3"/>
  <c r="N481" i="3"/>
  <c r="N457" i="3"/>
  <c r="N433" i="3"/>
  <c r="N409" i="3"/>
  <c r="N391" i="3"/>
  <c r="N377" i="3"/>
  <c r="N54" i="3"/>
  <c r="N581" i="3"/>
  <c r="N557" i="3"/>
  <c r="N533" i="3"/>
  <c r="N509" i="3"/>
  <c r="N485" i="3"/>
  <c r="N461" i="3"/>
  <c r="N437" i="3"/>
  <c r="N413" i="3"/>
  <c r="N200" i="3"/>
  <c r="N105" i="3"/>
  <c r="N91" i="3"/>
  <c r="N258" i="3"/>
  <c r="N147" i="3"/>
  <c r="N585" i="3"/>
  <c r="N561" i="3"/>
  <c r="N537" i="3"/>
  <c r="N513" i="3"/>
  <c r="N489" i="3"/>
  <c r="N465" i="3"/>
  <c r="N441" i="3"/>
  <c r="N417" i="3"/>
  <c r="N26" i="3"/>
  <c r="N135" i="3"/>
  <c r="N60" i="3"/>
  <c r="N360" i="3"/>
  <c r="N368" i="3"/>
  <c r="N212" i="3"/>
  <c r="L264" i="3"/>
  <c r="M264" i="3"/>
  <c r="N264" i="3" l="1"/>
  <c r="N1055" i="3" l="1"/>
  <c r="N66" i="7" s="1"/>
  <c r="O66" i="7" l="1"/>
  <c r="O64" i="7"/>
  <c r="P251" i="3"/>
  <c r="Q251" i="3" s="1"/>
  <c r="P619" i="3"/>
  <c r="P59" i="3"/>
  <c r="P473" i="3"/>
  <c r="P668" i="3"/>
  <c r="P676" i="3"/>
  <c r="P684" i="3"/>
  <c r="P692" i="3"/>
  <c r="P700" i="3"/>
  <c r="P708" i="3"/>
  <c r="P716" i="3"/>
  <c r="P724" i="3"/>
  <c r="P732" i="3"/>
  <c r="P740" i="3"/>
  <c r="P748" i="3"/>
  <c r="P756" i="3"/>
  <c r="P764" i="3"/>
  <c r="P772" i="3"/>
  <c r="P780" i="3"/>
  <c r="P788" i="3"/>
  <c r="P796" i="3"/>
  <c r="P804" i="3"/>
  <c r="P812" i="3"/>
  <c r="P820" i="3"/>
  <c r="P828" i="3"/>
  <c r="P836" i="3"/>
  <c r="P844" i="3"/>
  <c r="P852" i="3"/>
  <c r="P860" i="3"/>
  <c r="P868" i="3"/>
  <c r="P876" i="3"/>
  <c r="P884" i="3"/>
  <c r="P892" i="3"/>
  <c r="P900" i="3"/>
  <c r="P669" i="3"/>
  <c r="P677" i="3"/>
  <c r="P685" i="3"/>
  <c r="P693" i="3"/>
  <c r="P701" i="3"/>
  <c r="P709" i="3"/>
  <c r="P717" i="3"/>
  <c r="P725" i="3"/>
  <c r="P733" i="3"/>
  <c r="P741" i="3"/>
  <c r="P749" i="3"/>
  <c r="P757" i="3"/>
  <c r="P765" i="3"/>
  <c r="P773" i="3"/>
  <c r="P781" i="3"/>
  <c r="P789" i="3"/>
  <c r="P797" i="3"/>
  <c r="P805" i="3"/>
  <c r="P813" i="3"/>
  <c r="P821" i="3"/>
  <c r="P829" i="3"/>
  <c r="P837" i="3"/>
  <c r="P845" i="3"/>
  <c r="P853" i="3"/>
  <c r="P670" i="3"/>
  <c r="P678" i="3"/>
  <c r="P686" i="3"/>
  <c r="P694" i="3"/>
  <c r="P702" i="3"/>
  <c r="P710" i="3"/>
  <c r="P718" i="3"/>
  <c r="P726" i="3"/>
  <c r="P734" i="3"/>
  <c r="P742" i="3"/>
  <c r="P750" i="3"/>
  <c r="P758" i="3"/>
  <c r="P766" i="3"/>
  <c r="P774" i="3"/>
  <c r="P782" i="3"/>
  <c r="P790" i="3"/>
  <c r="P798" i="3"/>
  <c r="P806" i="3"/>
  <c r="P814" i="3"/>
  <c r="P822" i="3"/>
  <c r="P830" i="3"/>
  <c r="P838" i="3"/>
  <c r="P846" i="3"/>
  <c r="P854" i="3"/>
  <c r="P862" i="3"/>
  <c r="P870" i="3"/>
  <c r="P878" i="3"/>
  <c r="P886" i="3"/>
  <c r="P894" i="3"/>
  <c r="P671" i="3"/>
  <c r="P679" i="3"/>
  <c r="P687" i="3"/>
  <c r="P695" i="3"/>
  <c r="P703" i="3"/>
  <c r="P711" i="3"/>
  <c r="P719" i="3"/>
  <c r="P727" i="3"/>
  <c r="P735" i="3"/>
  <c r="P743" i="3"/>
  <c r="P751" i="3"/>
  <c r="P759" i="3"/>
  <c r="P767" i="3"/>
  <c r="P775" i="3"/>
  <c r="P783" i="3"/>
  <c r="P672" i="3"/>
  <c r="P680" i="3"/>
  <c r="P688" i="3"/>
  <c r="P696" i="3"/>
  <c r="P704" i="3"/>
  <c r="P712" i="3"/>
  <c r="P720" i="3"/>
  <c r="P728" i="3"/>
  <c r="P736" i="3"/>
  <c r="P744" i="3"/>
  <c r="P752" i="3"/>
  <c r="P760" i="3"/>
  <c r="P768" i="3"/>
  <c r="P776" i="3"/>
  <c r="P784" i="3"/>
  <c r="P792" i="3"/>
  <c r="P800" i="3"/>
  <c r="P808" i="3"/>
  <c r="P816" i="3"/>
  <c r="P824" i="3"/>
  <c r="P832" i="3"/>
  <c r="P840" i="3"/>
  <c r="P848" i="3"/>
  <c r="P856" i="3"/>
  <c r="P665" i="3"/>
  <c r="P673" i="3"/>
  <c r="P681" i="3"/>
  <c r="P689" i="3"/>
  <c r="P697" i="3"/>
  <c r="P705" i="3"/>
  <c r="P713" i="3"/>
  <c r="P721" i="3"/>
  <c r="P729" i="3"/>
  <c r="P737" i="3"/>
  <c r="P745" i="3"/>
  <c r="P753" i="3"/>
  <c r="P761" i="3"/>
  <c r="P769" i="3"/>
  <c r="P777" i="3"/>
  <c r="P785" i="3"/>
  <c r="P793" i="3"/>
  <c r="P801" i="3"/>
  <c r="P809" i="3"/>
  <c r="P817" i="3"/>
  <c r="P825" i="3"/>
  <c r="P667" i="3"/>
  <c r="P699" i="3"/>
  <c r="P731" i="3"/>
  <c r="P763" i="3"/>
  <c r="P794" i="3"/>
  <c r="P815" i="3"/>
  <c r="P834" i="3"/>
  <c r="P850" i="3"/>
  <c r="P864" i="3"/>
  <c r="P874" i="3"/>
  <c r="P885" i="3"/>
  <c r="P896" i="3"/>
  <c r="P905" i="3"/>
  <c r="P913" i="3"/>
  <c r="P921" i="3"/>
  <c r="P929" i="3"/>
  <c r="P937" i="3"/>
  <c r="P945" i="3"/>
  <c r="P953" i="3"/>
  <c r="P961" i="3"/>
  <c r="P969" i="3"/>
  <c r="P977" i="3"/>
  <c r="P985" i="3"/>
  <c r="P993" i="3"/>
  <c r="P1001" i="3"/>
  <c r="P1009" i="3"/>
  <c r="P1017" i="3"/>
  <c r="P1025" i="3"/>
  <c r="P1033" i="3"/>
  <c r="P1041" i="3"/>
  <c r="P1049" i="3"/>
  <c r="P691" i="3"/>
  <c r="P810" i="3"/>
  <c r="P847" i="3"/>
  <c r="P903" i="3"/>
  <c r="P927" i="3"/>
  <c r="P967" i="3"/>
  <c r="P1007" i="3"/>
  <c r="P1031" i="3"/>
  <c r="P674" i="3"/>
  <c r="P706" i="3"/>
  <c r="P738" i="3"/>
  <c r="P770" i="3"/>
  <c r="P795" i="3"/>
  <c r="P818" i="3"/>
  <c r="P835" i="3"/>
  <c r="P851" i="3"/>
  <c r="P865" i="3"/>
  <c r="P875" i="3"/>
  <c r="P887" i="3"/>
  <c r="P897" i="3"/>
  <c r="P906" i="3"/>
  <c r="P914" i="3"/>
  <c r="P922" i="3"/>
  <c r="P930" i="3"/>
  <c r="P938" i="3"/>
  <c r="P946" i="3"/>
  <c r="P954" i="3"/>
  <c r="P962" i="3"/>
  <c r="P970" i="3"/>
  <c r="P978" i="3"/>
  <c r="P986" i="3"/>
  <c r="P994" i="3"/>
  <c r="P1002" i="3"/>
  <c r="P1010" i="3"/>
  <c r="P1018" i="3"/>
  <c r="P1026" i="3"/>
  <c r="P1034" i="3"/>
  <c r="P1042" i="3"/>
  <c r="P1050" i="3"/>
  <c r="P893" i="3"/>
  <c r="P951" i="3"/>
  <c r="P991" i="3"/>
  <c r="P1023" i="3"/>
  <c r="P675" i="3"/>
  <c r="P707" i="3"/>
  <c r="P739" i="3"/>
  <c r="P771" i="3"/>
  <c r="P799" i="3"/>
  <c r="P819" i="3"/>
  <c r="P839" i="3"/>
  <c r="P855" i="3"/>
  <c r="P866" i="3"/>
  <c r="P877" i="3"/>
  <c r="P888" i="3"/>
  <c r="P898" i="3"/>
  <c r="P907" i="3"/>
  <c r="P915" i="3"/>
  <c r="P923" i="3"/>
  <c r="P931" i="3"/>
  <c r="P939" i="3"/>
  <c r="P947" i="3"/>
  <c r="P955" i="3"/>
  <c r="P963" i="3"/>
  <c r="P971" i="3"/>
  <c r="P979" i="3"/>
  <c r="P987" i="3"/>
  <c r="P995" i="3"/>
  <c r="P1003" i="3"/>
  <c r="P1011" i="3"/>
  <c r="P1019" i="3"/>
  <c r="P1027" i="3"/>
  <c r="P1035" i="3"/>
  <c r="P1043" i="3"/>
  <c r="P1051" i="3"/>
  <c r="P723" i="3"/>
  <c r="P831" i="3"/>
  <c r="P872" i="3"/>
  <c r="P919" i="3"/>
  <c r="P959" i="3"/>
  <c r="P999" i="3"/>
  <c r="P1039" i="3"/>
  <c r="P682" i="3"/>
  <c r="P714" i="3"/>
  <c r="P746" i="3"/>
  <c r="P778" i="3"/>
  <c r="P802" i="3"/>
  <c r="P823" i="3"/>
  <c r="P841" i="3"/>
  <c r="P857" i="3"/>
  <c r="P867" i="3"/>
  <c r="P879" i="3"/>
  <c r="P889" i="3"/>
  <c r="P899" i="3"/>
  <c r="P908" i="3"/>
  <c r="P916" i="3"/>
  <c r="P924" i="3"/>
  <c r="P932" i="3"/>
  <c r="P940" i="3"/>
  <c r="P948" i="3"/>
  <c r="P956" i="3"/>
  <c r="P964" i="3"/>
  <c r="P972" i="3"/>
  <c r="P980" i="3"/>
  <c r="P988" i="3"/>
  <c r="P996" i="3"/>
  <c r="P1004" i="3"/>
  <c r="P1012" i="3"/>
  <c r="P1020" i="3"/>
  <c r="P1028" i="3"/>
  <c r="P1036" i="3"/>
  <c r="P1044" i="3"/>
  <c r="P1052" i="3"/>
  <c r="P787" i="3"/>
  <c r="P882" i="3"/>
  <c r="P943" i="3"/>
  <c r="P983" i="3"/>
  <c r="P1047" i="3"/>
  <c r="P683" i="3"/>
  <c r="P715" i="3"/>
  <c r="P747" i="3"/>
  <c r="P779" i="3"/>
  <c r="P803" i="3"/>
  <c r="P826" i="3"/>
  <c r="P842" i="3"/>
  <c r="P858" i="3"/>
  <c r="P869" i="3"/>
  <c r="P880" i="3"/>
  <c r="P890" i="3"/>
  <c r="P901" i="3"/>
  <c r="P909" i="3"/>
  <c r="P917" i="3"/>
  <c r="P925" i="3"/>
  <c r="P933" i="3"/>
  <c r="P941" i="3"/>
  <c r="P949" i="3"/>
  <c r="P957" i="3"/>
  <c r="P965" i="3"/>
  <c r="P973" i="3"/>
  <c r="P981" i="3"/>
  <c r="P989" i="3"/>
  <c r="P997" i="3"/>
  <c r="P1005" i="3"/>
  <c r="P1013" i="3"/>
  <c r="P1021" i="3"/>
  <c r="P1029" i="3"/>
  <c r="P1037" i="3"/>
  <c r="P1045" i="3"/>
  <c r="P755" i="3"/>
  <c r="P861" i="3"/>
  <c r="P911" i="3"/>
  <c r="P935" i="3"/>
  <c r="P975" i="3"/>
  <c r="P1015" i="3"/>
  <c r="P690" i="3"/>
  <c r="P722" i="3"/>
  <c r="P754" i="3"/>
  <c r="P786" i="3"/>
  <c r="P807" i="3"/>
  <c r="P827" i="3"/>
  <c r="P843" i="3"/>
  <c r="P859" i="3"/>
  <c r="P871" i="3"/>
  <c r="P881" i="3"/>
  <c r="P891" i="3"/>
  <c r="P902" i="3"/>
  <c r="P910" i="3"/>
  <c r="P918" i="3"/>
  <c r="P926" i="3"/>
  <c r="P934" i="3"/>
  <c r="P942" i="3"/>
  <c r="P950" i="3"/>
  <c r="P958" i="3"/>
  <c r="P966" i="3"/>
  <c r="P974" i="3"/>
  <c r="P982" i="3"/>
  <c r="P990" i="3"/>
  <c r="P998" i="3"/>
  <c r="P1006" i="3"/>
  <c r="P1014" i="3"/>
  <c r="P1022" i="3"/>
  <c r="P1030" i="3"/>
  <c r="P1038" i="3"/>
  <c r="P1046" i="3"/>
  <c r="P666" i="3"/>
  <c r="P698" i="3"/>
  <c r="P730" i="3"/>
  <c r="P762" i="3"/>
  <c r="P791" i="3"/>
  <c r="P811" i="3"/>
  <c r="P833" i="3"/>
  <c r="P849" i="3"/>
  <c r="P863" i="3"/>
  <c r="P873" i="3"/>
  <c r="P883" i="3"/>
  <c r="P895" i="3"/>
  <c r="P904" i="3"/>
  <c r="P912" i="3"/>
  <c r="P920" i="3"/>
  <c r="P928" i="3"/>
  <c r="P936" i="3"/>
  <c r="P944" i="3"/>
  <c r="P952" i="3"/>
  <c r="P960" i="3"/>
  <c r="P968" i="3"/>
  <c r="P976" i="3"/>
  <c r="P984" i="3"/>
  <c r="P992" i="3"/>
  <c r="P1000" i="3"/>
  <c r="P1008" i="3"/>
  <c r="P1016" i="3"/>
  <c r="P1024" i="3"/>
  <c r="P1032" i="3"/>
  <c r="P1040" i="3"/>
  <c r="P1048" i="3"/>
  <c r="P277" i="3"/>
  <c r="P85" i="3"/>
  <c r="P205" i="3"/>
  <c r="P105" i="3"/>
  <c r="P134" i="3"/>
  <c r="P614" i="3"/>
  <c r="P380" i="3"/>
  <c r="P336" i="3"/>
  <c r="P404" i="3"/>
  <c r="P596" i="3"/>
  <c r="P550" i="3"/>
  <c r="P489" i="3"/>
  <c r="P221" i="3"/>
  <c r="P87" i="3"/>
  <c r="P84" i="3"/>
  <c r="P94" i="3"/>
  <c r="P428" i="3"/>
  <c r="P31" i="3"/>
  <c r="P593" i="3"/>
  <c r="P625" i="3"/>
  <c r="P610" i="3"/>
  <c r="P237" i="3"/>
  <c r="P370" i="3"/>
  <c r="P654" i="3"/>
  <c r="P60" i="3"/>
  <c r="P506" i="3"/>
  <c r="P390" i="3"/>
  <c r="P639" i="3"/>
  <c r="P631" i="3"/>
  <c r="P141" i="3"/>
  <c r="P337" i="3"/>
  <c r="P111" i="3"/>
  <c r="P188" i="3"/>
  <c r="P166" i="3"/>
  <c r="P18" i="3"/>
  <c r="P611" i="3"/>
  <c r="P52" i="3"/>
  <c r="P449" i="3"/>
  <c r="P321" i="3"/>
  <c r="P206" i="3"/>
  <c r="P189" i="3"/>
  <c r="P398" i="3"/>
  <c r="P40" i="3"/>
  <c r="P613" i="3"/>
  <c r="P19" i="3"/>
  <c r="P294" i="3"/>
  <c r="P562" i="3"/>
  <c r="P326" i="3"/>
  <c r="P403" i="3"/>
  <c r="P406" i="3"/>
  <c r="P324" i="3"/>
  <c r="P660" i="3"/>
  <c r="P387" i="3"/>
  <c r="P604" i="3"/>
  <c r="P309" i="3"/>
  <c r="P451" i="3"/>
  <c r="P24" i="3"/>
  <c r="P255" i="3"/>
  <c r="P569" i="3"/>
  <c r="P514" i="3"/>
  <c r="P503" i="3"/>
  <c r="P298" i="3"/>
  <c r="P527" i="3"/>
  <c r="P553" i="3"/>
  <c r="P346" i="3"/>
  <c r="P153" i="3"/>
  <c r="P605" i="3"/>
  <c r="P25" i="3"/>
  <c r="P256" i="3"/>
  <c r="P504" i="3"/>
  <c r="P448" i="3"/>
  <c r="P582" i="3"/>
  <c r="P41" i="3"/>
  <c r="P469" i="3"/>
  <c r="P364" i="3"/>
  <c r="P432" i="3"/>
  <c r="P361" i="3"/>
  <c r="P355" i="3"/>
  <c r="P133" i="3"/>
  <c r="P629" i="3"/>
  <c r="P170" i="3"/>
  <c r="P520" i="3"/>
  <c r="P280" i="3"/>
  <c r="P607" i="3"/>
  <c r="P423" i="3"/>
  <c r="P34" i="3"/>
  <c r="P389" i="3"/>
  <c r="P88" i="3"/>
  <c r="P71" i="3"/>
  <c r="P12" i="3"/>
  <c r="P202" i="3"/>
  <c r="P663" i="3"/>
  <c r="P286" i="3"/>
  <c r="P356" i="3"/>
  <c r="P537" i="3"/>
  <c r="P519" i="3"/>
  <c r="P16" i="3"/>
  <c r="P323" i="3"/>
  <c r="P173" i="3"/>
  <c r="P257" i="3"/>
  <c r="P532" i="3"/>
  <c r="P328" i="3"/>
  <c r="P58" i="3"/>
  <c r="P330" i="3"/>
  <c r="P264" i="3"/>
  <c r="P249" i="3"/>
  <c r="P634" i="3"/>
  <c r="P545" i="3"/>
  <c r="P483" i="3"/>
  <c r="P308" i="3"/>
  <c r="P480" i="3"/>
  <c r="P130" i="3"/>
  <c r="P580" i="3"/>
  <c r="P77" i="3"/>
  <c r="P48" i="3"/>
  <c r="P108" i="3"/>
  <c r="P260" i="3"/>
  <c r="P246" i="3"/>
  <c r="P118" i="3"/>
  <c r="P540" i="3"/>
  <c r="P210" i="3"/>
  <c r="P225" i="3"/>
  <c r="P464" i="3"/>
  <c r="P32" i="3"/>
  <c r="P443" i="3"/>
  <c r="P368" i="3"/>
  <c r="P149" i="3"/>
  <c r="P281" i="3"/>
  <c r="P353" i="3"/>
  <c r="P385" i="3"/>
  <c r="P661" i="3"/>
  <c r="P201" i="3"/>
  <c r="P231" i="3"/>
  <c r="P643" i="3"/>
  <c r="P523" i="3"/>
  <c r="P397" i="3"/>
  <c r="P487" i="3"/>
  <c r="P558" i="3"/>
  <c r="P375" i="3"/>
  <c r="P363" i="3"/>
  <c r="P177" i="3"/>
  <c r="P622" i="3"/>
  <c r="P195" i="3"/>
  <c r="P287" i="3"/>
  <c r="P23" i="3"/>
  <c r="P54" i="3"/>
  <c r="P269" i="3"/>
  <c r="P415" i="3"/>
  <c r="P122" i="3"/>
  <c r="P491" i="3"/>
  <c r="P379" i="3"/>
  <c r="P247" i="3"/>
  <c r="P234" i="3"/>
  <c r="P498" i="3"/>
  <c r="P329" i="3"/>
  <c r="P339" i="3"/>
  <c r="P36" i="3"/>
  <c r="P152" i="3"/>
  <c r="P502" i="3"/>
  <c r="P125" i="3"/>
  <c r="P362" i="3"/>
  <c r="P272" i="3"/>
  <c r="P123" i="3"/>
  <c r="P590" i="3"/>
  <c r="P424" i="3"/>
  <c r="P334" i="3"/>
  <c r="P488" i="3"/>
  <c r="P589" i="3"/>
  <c r="P303" i="3"/>
  <c r="P42" i="3"/>
  <c r="P268" i="3"/>
  <c r="P436" i="3"/>
  <c r="P633" i="3"/>
  <c r="P296" i="3"/>
  <c r="P194" i="3"/>
  <c r="P635" i="3"/>
  <c r="P191" i="3"/>
  <c r="P304" i="3"/>
  <c r="P548" i="3"/>
  <c r="P522" i="3"/>
  <c r="P273" i="3"/>
  <c r="P501" i="3"/>
  <c r="P203" i="3"/>
  <c r="P169" i="3"/>
  <c r="P513" i="3"/>
  <c r="P656" i="3"/>
  <c r="P212" i="3"/>
  <c r="P243" i="3"/>
  <c r="P104" i="3"/>
  <c r="P549" i="3"/>
  <c r="P640" i="3"/>
  <c r="P536" i="3"/>
  <c r="P293" i="3"/>
  <c r="P512" i="3"/>
  <c r="P197" i="3"/>
  <c r="P258" i="3"/>
  <c r="P14" i="3"/>
  <c r="P561" i="3"/>
  <c r="P546" i="3"/>
  <c r="P275" i="3"/>
  <c r="P183" i="3"/>
  <c r="P609" i="3"/>
  <c r="P433" i="3"/>
  <c r="P51" i="3"/>
  <c r="P342" i="3"/>
  <c r="P43" i="3"/>
  <c r="P391" i="3"/>
  <c r="P214" i="3"/>
  <c r="P405" i="3"/>
  <c r="P182" i="3"/>
  <c r="P365" i="3"/>
  <c r="P621" i="3"/>
  <c r="P62" i="3"/>
  <c r="P219" i="3"/>
  <c r="P181" i="3"/>
  <c r="P28" i="3"/>
  <c r="P49" i="3"/>
  <c r="P129" i="3"/>
  <c r="P116" i="3"/>
  <c r="P525" i="3"/>
  <c r="P644" i="3"/>
  <c r="P68" i="3"/>
  <c r="P98" i="3"/>
  <c r="P587" i="3"/>
  <c r="P638" i="3"/>
  <c r="P120" i="3"/>
  <c r="P317" i="3"/>
  <c r="P637" i="3"/>
  <c r="P338" i="3"/>
  <c r="P456" i="3"/>
  <c r="P193" i="3"/>
  <c r="P399" i="3"/>
  <c r="P299" i="3"/>
  <c r="P223" i="3"/>
  <c r="P653" i="3"/>
  <c r="P595" i="3"/>
  <c r="P425" i="3"/>
  <c r="P460" i="3"/>
  <c r="P92" i="3"/>
  <c r="P76" i="3"/>
  <c r="P327" i="3"/>
  <c r="P486" i="3"/>
  <c r="P144" i="3"/>
  <c r="P145" i="3"/>
  <c r="P417" i="3"/>
  <c r="P276" i="3"/>
  <c r="P295" i="3"/>
  <c r="P466" i="3"/>
  <c r="P439" i="3"/>
  <c r="P382" i="3"/>
  <c r="P267" i="3"/>
  <c r="P350" i="3"/>
  <c r="P107" i="3"/>
  <c r="P319" i="3"/>
  <c r="P567" i="3"/>
  <c r="P367" i="3"/>
  <c r="P384" i="3"/>
  <c r="P531" i="3"/>
  <c r="P434" i="3"/>
  <c r="P168" i="3"/>
  <c r="P121" i="3"/>
  <c r="P484" i="3"/>
  <c r="P557" i="3"/>
  <c r="P585" i="3"/>
  <c r="P160" i="3"/>
  <c r="P457" i="3"/>
  <c r="P615" i="3"/>
  <c r="P20" i="3"/>
  <c r="P139" i="3"/>
  <c r="P57" i="3"/>
  <c r="P78" i="3"/>
  <c r="P454" i="3"/>
  <c r="P218" i="3"/>
  <c r="P386" i="3"/>
  <c r="P109" i="3"/>
  <c r="P588" i="3"/>
  <c r="P47" i="3"/>
  <c r="P414" i="3"/>
  <c r="P322" i="3"/>
  <c r="P325" i="3"/>
  <c r="P79" i="3"/>
  <c r="P30" i="3"/>
  <c r="P547" i="3"/>
  <c r="P159" i="3"/>
  <c r="P494" i="3"/>
  <c r="P378" i="3"/>
  <c r="P565" i="3"/>
  <c r="P649" i="3"/>
  <c r="P419" i="3"/>
  <c r="P412" i="3"/>
  <c r="P75" i="3"/>
  <c r="P37" i="3"/>
  <c r="P229" i="3"/>
  <c r="P539" i="3"/>
  <c r="P171" i="3"/>
  <c r="P552" i="3"/>
  <c r="P518" i="3"/>
  <c r="P400" i="3"/>
  <c r="P158" i="3"/>
  <c r="P458" i="3"/>
  <c r="P284" i="3"/>
  <c r="P570" i="3"/>
  <c r="P112" i="3"/>
  <c r="P409" i="3"/>
  <c r="P447" i="3"/>
  <c r="P348" i="3"/>
  <c r="P659" i="3"/>
  <c r="P636" i="3"/>
  <c r="P521" i="3"/>
  <c r="P344" i="3"/>
  <c r="P566" i="3"/>
  <c r="P167" i="3"/>
  <c r="P15" i="3"/>
  <c r="P360" i="3"/>
  <c r="P279" i="3"/>
  <c r="P270" i="3"/>
  <c r="P359" i="3"/>
  <c r="P564" i="3"/>
  <c r="P572" i="3"/>
  <c r="P215" i="3"/>
  <c r="P482" i="3"/>
  <c r="P606" i="3"/>
  <c r="P556" i="3"/>
  <c r="P630" i="3"/>
  <c r="P358" i="3"/>
  <c r="P73" i="3"/>
  <c r="P11" i="3"/>
  <c r="P285" i="3"/>
  <c r="P142" i="3"/>
  <c r="P627" i="3"/>
  <c r="P554" i="3"/>
  <c r="P500" i="3"/>
  <c r="P381" i="3"/>
  <c r="P137" i="3"/>
  <c r="P69" i="3"/>
  <c r="P226" i="3"/>
  <c r="P314" i="3"/>
  <c r="P517" i="3"/>
  <c r="P351" i="3"/>
  <c r="P307" i="3"/>
  <c r="P431" i="3"/>
  <c r="P186" i="3"/>
  <c r="P452" i="3"/>
  <c r="P617" i="3"/>
  <c r="P444" i="3"/>
  <c r="P305" i="3"/>
  <c r="P315" i="3"/>
  <c r="P292" i="3"/>
  <c r="P463" i="3"/>
  <c r="P641" i="3"/>
  <c r="P7" i="3"/>
  <c r="P113" i="3"/>
  <c r="P119" i="3"/>
  <c r="P190" i="3"/>
  <c r="P61" i="3"/>
  <c r="P507" i="3"/>
  <c r="P495" i="3"/>
  <c r="P445" i="3"/>
  <c r="P238" i="3"/>
  <c r="P217" i="3"/>
  <c r="P44" i="3"/>
  <c r="P427" i="3"/>
  <c r="P373" i="3"/>
  <c r="P316" i="3"/>
  <c r="P97" i="3"/>
  <c r="P263" i="3"/>
  <c r="P461" i="3"/>
  <c r="P179" i="3"/>
  <c r="P318" i="3"/>
  <c r="P601" i="3"/>
  <c r="P155" i="3"/>
  <c r="P100" i="3"/>
  <c r="P86" i="3"/>
  <c r="P352" i="3"/>
  <c r="P80" i="3"/>
  <c r="P138" i="3"/>
  <c r="P624" i="3"/>
  <c r="P63" i="3"/>
  <c r="P612" i="3"/>
  <c r="P393" i="3"/>
  <c r="P459" i="3"/>
  <c r="P658" i="3"/>
  <c r="P376" i="3"/>
  <c r="P388" i="3"/>
  <c r="P66" i="3"/>
  <c r="P602" i="3"/>
  <c r="P13" i="3"/>
  <c r="P311" i="3"/>
  <c r="P657" i="3"/>
  <c r="P426" i="3"/>
  <c r="P544" i="3"/>
  <c r="P492" i="3"/>
  <c r="P446" i="3"/>
  <c r="P174" i="3"/>
  <c r="P541" i="3"/>
  <c r="P126" i="3"/>
  <c r="P101" i="3"/>
  <c r="P180" i="3"/>
  <c r="P143" i="3"/>
  <c r="P252" i="3"/>
  <c r="P651" i="3"/>
  <c r="P200" i="3"/>
  <c r="P274" i="3"/>
  <c r="P465" i="3"/>
  <c r="P435" i="3"/>
  <c r="P421" i="3"/>
  <c r="P341" i="3"/>
  <c r="P282" i="3"/>
  <c r="P72" i="3"/>
  <c r="P110" i="3"/>
  <c r="P46" i="3"/>
  <c r="P204" i="3"/>
  <c r="P394" i="3"/>
  <c r="P81" i="3"/>
  <c r="P290" i="3"/>
  <c r="P140" i="3"/>
  <c r="P65" i="3"/>
  <c r="P313" i="3"/>
  <c r="P410" i="3"/>
  <c r="P551" i="3"/>
  <c r="P302" i="3"/>
  <c r="P222" i="3"/>
  <c r="P21" i="3"/>
  <c r="P584" i="3"/>
  <c r="P266" i="3"/>
  <c r="P515" i="3"/>
  <c r="P335" i="3"/>
  <c r="P99" i="3"/>
  <c r="P175" i="3"/>
  <c r="P429" i="3"/>
  <c r="P96" i="3"/>
  <c r="P357" i="3"/>
  <c r="P91" i="3"/>
  <c r="P198" i="3"/>
  <c r="P662" i="3"/>
  <c r="P224" i="3"/>
  <c r="P156" i="3"/>
  <c r="P90" i="3"/>
  <c r="P530" i="3"/>
  <c r="P146" i="3"/>
  <c r="P586" i="3"/>
  <c r="P497" i="3"/>
  <c r="P288" i="3"/>
  <c r="P115" i="3"/>
  <c r="P232" i="3"/>
  <c r="P178" i="3"/>
  <c r="P493" i="3"/>
  <c r="P535" i="3"/>
  <c r="P642" i="3"/>
  <c r="P301" i="3"/>
  <c r="P555" i="3"/>
  <c r="P27" i="3"/>
  <c r="P568" i="3"/>
  <c r="P332" i="3"/>
  <c r="P184" i="3"/>
  <c r="P235" i="3"/>
  <c r="P196" i="3"/>
  <c r="P374" i="3"/>
  <c r="P479" i="3"/>
  <c r="P542" i="3"/>
  <c r="P128" i="3"/>
  <c r="P176" i="3"/>
  <c r="P250" i="3"/>
  <c r="P241" i="3"/>
  <c r="P82" i="3"/>
  <c r="P228" i="3"/>
  <c r="P227" i="3"/>
  <c r="P333" i="3"/>
  <c r="P652" i="3"/>
  <c r="P453" i="3"/>
  <c r="P136" i="3"/>
  <c r="P477" i="3"/>
  <c r="P22" i="3"/>
  <c r="P150" i="3"/>
  <c r="P563" i="3"/>
  <c r="P254" i="3"/>
  <c r="P526" i="3"/>
  <c r="P395" i="3"/>
  <c r="P297" i="3"/>
  <c r="P340" i="3"/>
  <c r="P135" i="3"/>
  <c r="P476" i="3"/>
  <c r="P199" i="3"/>
  <c r="P165" i="3"/>
  <c r="P56" i="3"/>
  <c r="P650" i="3"/>
  <c r="P577" i="3"/>
  <c r="P369" i="3"/>
  <c r="P306" i="3"/>
  <c r="P470" i="3"/>
  <c r="P244" i="3"/>
  <c r="P529" i="3"/>
  <c r="P655" i="3"/>
  <c r="P490" i="3"/>
  <c r="P161" i="3"/>
  <c r="P148" i="3"/>
  <c r="P620" i="3"/>
  <c r="P598" i="3"/>
  <c r="P474" i="3"/>
  <c r="P392" i="3"/>
  <c r="P93" i="3"/>
  <c r="P233" i="3"/>
  <c r="P240" i="3"/>
  <c r="P192" i="3"/>
  <c r="P245" i="3"/>
  <c r="P600" i="3"/>
  <c r="P259" i="3"/>
  <c r="P117" i="3"/>
  <c r="P147" i="3"/>
  <c r="P467" i="3"/>
  <c r="P413" i="3"/>
  <c r="P418" i="3"/>
  <c r="P372" i="3"/>
  <c r="P45" i="3"/>
  <c r="P475" i="3"/>
  <c r="P55" i="3"/>
  <c r="P438" i="3"/>
  <c r="P422" i="3"/>
  <c r="P29" i="3"/>
  <c r="P578" i="3"/>
  <c r="P579" i="3"/>
  <c r="P618" i="3"/>
  <c r="P261" i="3"/>
  <c r="P597" i="3"/>
  <c r="P8" i="3"/>
  <c r="P208" i="3"/>
  <c r="P220" i="3"/>
  <c r="P534" i="3"/>
  <c r="P608" i="3"/>
  <c r="P102" i="3"/>
  <c r="P242" i="3"/>
  <c r="P616" i="3"/>
  <c r="P559" i="3"/>
  <c r="P33" i="3"/>
  <c r="P38" i="3"/>
  <c r="P623" i="3"/>
  <c r="P187" i="3"/>
  <c r="P371" i="3"/>
  <c r="P17" i="3"/>
  <c r="P430" i="3"/>
  <c r="P592" i="3"/>
  <c r="P230" i="3"/>
  <c r="P9" i="3"/>
  <c r="P74" i="3"/>
  <c r="P289" i="3"/>
  <c r="P646" i="3"/>
  <c r="P401" i="3"/>
  <c r="P510" i="3"/>
  <c r="P571" i="3"/>
  <c r="P533" i="3"/>
  <c r="P163" i="3"/>
  <c r="P524" i="3"/>
  <c r="P106" i="3"/>
  <c r="P455" i="3"/>
  <c r="P647" i="3"/>
  <c r="P131" i="3"/>
  <c r="P437" i="3"/>
  <c r="P354" i="3"/>
  <c r="P468" i="3"/>
  <c r="P472" i="3"/>
  <c r="P471" i="3"/>
  <c r="P271" i="3"/>
  <c r="P560" i="3"/>
  <c r="P35" i="3"/>
  <c r="P10" i="3"/>
  <c r="P383" i="3"/>
  <c r="P103" i="3"/>
  <c r="P462" i="3"/>
  <c r="P450" i="3"/>
  <c r="P599" i="3"/>
  <c r="P132" i="3"/>
  <c r="P485" i="3"/>
  <c r="P283" i="3"/>
  <c r="P211" i="3"/>
  <c r="P207" i="3"/>
  <c r="P291" i="3"/>
  <c r="P402" i="3"/>
  <c r="P209" i="3"/>
  <c r="P343" i="3"/>
  <c r="P213" i="3"/>
  <c r="P628" i="3"/>
  <c r="P505" i="3"/>
  <c r="P573" i="3"/>
  <c r="P626" i="3"/>
  <c r="P581" i="3"/>
  <c r="P366" i="3"/>
  <c r="P576" i="3"/>
  <c r="P347" i="3"/>
  <c r="P574" i="3"/>
  <c r="P50" i="3"/>
  <c r="P154" i="3"/>
  <c r="P478" i="3"/>
  <c r="P632" i="3"/>
  <c r="P320" i="3"/>
  <c r="P157" i="3"/>
  <c r="P216" i="3"/>
  <c r="P442" i="3"/>
  <c r="P248" i="3"/>
  <c r="P331" i="3"/>
  <c r="P39" i="3"/>
  <c r="P114" i="3"/>
  <c r="P411" i="3"/>
  <c r="P396" i="3"/>
  <c r="P312" i="3"/>
  <c r="P162" i="3"/>
  <c r="P253" i="3"/>
  <c r="P594" i="3"/>
  <c r="P236" i="3"/>
  <c r="P441" i="3"/>
  <c r="P499" i="3"/>
  <c r="P645" i="3"/>
  <c r="P511" i="3"/>
  <c r="P575" i="3"/>
  <c r="P89" i="3"/>
  <c r="P164" i="3"/>
  <c r="P70" i="3"/>
  <c r="P67" i="3"/>
  <c r="P481" i="3"/>
  <c r="P508" i="3"/>
  <c r="P543" i="3"/>
  <c r="P53" i="3"/>
  <c r="P440" i="3"/>
  <c r="P300" i="3"/>
  <c r="P172" i="3"/>
  <c r="P603" i="3"/>
  <c r="P528" i="3"/>
  <c r="P408" i="3"/>
  <c r="P377" i="3"/>
  <c r="P151" i="3"/>
  <c r="P278" i="3"/>
  <c r="P420" i="3"/>
  <c r="P416" i="3"/>
  <c r="P83" i="3"/>
  <c r="P262" i="3"/>
  <c r="P265" i="3"/>
  <c r="P239" i="3"/>
  <c r="P95" i="3"/>
  <c r="P591" i="3"/>
  <c r="P407" i="3"/>
  <c r="P509" i="3"/>
  <c r="P516" i="3"/>
  <c r="P26" i="3"/>
  <c r="P64" i="3"/>
  <c r="P345" i="3"/>
  <c r="P124" i="3"/>
  <c r="P185" i="3"/>
  <c r="P496" i="3"/>
  <c r="P648" i="3"/>
  <c r="P583" i="3"/>
  <c r="P538" i="3"/>
  <c r="P664" i="3"/>
  <c r="P310" i="3"/>
  <c r="P127" i="3"/>
  <c r="P349" i="3"/>
  <c r="Q252" i="3" l="1"/>
  <c r="Q253" i="3" s="1"/>
  <c r="Q254" i="3" s="1"/>
  <c r="Q255" i="3" s="1"/>
  <c r="Q256" i="3" s="1"/>
  <c r="Q257" i="3" s="1"/>
  <c r="Q258" i="3" s="1"/>
  <c r="Q259" i="3" s="1"/>
  <c r="Q260" i="3" s="1"/>
  <c r="Q261" i="3" s="1"/>
  <c r="Q262" i="3" s="1"/>
  <c r="Q263" i="3" s="1"/>
  <c r="Q264" i="3" s="1"/>
  <c r="Q265" i="3" s="1"/>
  <c r="Q266" i="3" s="1"/>
  <c r="Q267" i="3" s="1"/>
  <c r="Q268" i="3" s="1"/>
  <c r="Q269" i="3" s="1"/>
  <c r="Q270" i="3" s="1"/>
  <c r="Q271" i="3" s="1"/>
  <c r="Q272" i="3" s="1"/>
  <c r="Q273" i="3" s="1"/>
  <c r="Q274" i="3" s="1"/>
  <c r="Q275" i="3" s="1"/>
  <c r="Q276" i="3" s="1"/>
  <c r="Q277" i="3" s="1"/>
  <c r="Q278" i="3" s="1"/>
  <c r="Q279" i="3" s="1"/>
  <c r="Q280" i="3" s="1"/>
  <c r="Q281" i="3" s="1"/>
  <c r="Q282" i="3" s="1"/>
  <c r="Q283" i="3" s="1"/>
  <c r="Q284" i="3" s="1"/>
  <c r="Q285" i="3" s="1"/>
  <c r="Q286" i="3" s="1"/>
  <c r="Q287" i="3" s="1"/>
  <c r="Q288" i="3" s="1"/>
  <c r="Q289" i="3" s="1"/>
  <c r="Q290" i="3" s="1"/>
  <c r="Q291" i="3" s="1"/>
  <c r="Q292" i="3" s="1"/>
  <c r="Q293" i="3" s="1"/>
  <c r="Q294" i="3" s="1"/>
  <c r="Q295" i="3" s="1"/>
  <c r="Q296" i="3" s="1"/>
  <c r="Q297" i="3" s="1"/>
  <c r="Q298" i="3" s="1"/>
  <c r="Q299" i="3" s="1"/>
  <c r="Q300" i="3" s="1"/>
  <c r="Q301" i="3" s="1"/>
  <c r="Q302" i="3" s="1"/>
  <c r="Q303" i="3" s="1"/>
  <c r="Q304" i="3" s="1"/>
  <c r="Q305" i="3" s="1"/>
  <c r="Q306" i="3" s="1"/>
  <c r="Q307" i="3" s="1"/>
  <c r="Q308" i="3" s="1"/>
  <c r="Q309" i="3" s="1"/>
  <c r="Q310" i="3" s="1"/>
  <c r="Q311" i="3" s="1"/>
  <c r="Q312" i="3" s="1"/>
  <c r="Q313" i="3" s="1"/>
  <c r="Q314" i="3" s="1"/>
  <c r="Q315" i="3" s="1"/>
  <c r="Q316" i="3" s="1"/>
  <c r="Q317" i="3" s="1"/>
  <c r="Q318" i="3" s="1"/>
  <c r="Q319" i="3" s="1"/>
  <c r="Q320" i="3" s="1"/>
  <c r="Q321" i="3" s="1"/>
  <c r="Q322" i="3" s="1"/>
  <c r="Q323" i="3" s="1"/>
  <c r="Q324" i="3" s="1"/>
  <c r="Q325" i="3" s="1"/>
  <c r="Q326" i="3" s="1"/>
  <c r="Q327" i="3" s="1"/>
  <c r="Q328" i="3" s="1"/>
  <c r="Q329" i="3" s="1"/>
  <c r="Q330" i="3" s="1"/>
  <c r="Q331" i="3" s="1"/>
  <c r="Q332" i="3" s="1"/>
  <c r="Q333" i="3" s="1"/>
  <c r="Q334" i="3" s="1"/>
  <c r="Q335" i="3" s="1"/>
  <c r="Q336" i="3" s="1"/>
  <c r="Q337" i="3" s="1"/>
  <c r="Q338" i="3" s="1"/>
  <c r="Q339" i="3" s="1"/>
  <c r="Q340" i="3" s="1"/>
  <c r="Q341" i="3" s="1"/>
  <c r="Q342" i="3" s="1"/>
  <c r="Q343" i="3" s="1"/>
  <c r="Q344" i="3" s="1"/>
  <c r="Q345" i="3" s="1"/>
  <c r="Q346" i="3" s="1"/>
  <c r="Q347" i="3" s="1"/>
  <c r="Q348" i="3" s="1"/>
  <c r="Q349" i="3" s="1"/>
  <c r="Q350" i="3" s="1"/>
  <c r="Q351" i="3" s="1"/>
  <c r="Q352" i="3" s="1"/>
  <c r="Q353" i="3" s="1"/>
  <c r="Q354" i="3" s="1"/>
  <c r="Q355" i="3" s="1"/>
  <c r="Q356" i="3" s="1"/>
  <c r="Q357" i="3" s="1"/>
  <c r="Q358" i="3" s="1"/>
  <c r="Q359" i="3" s="1"/>
  <c r="Q360" i="3" s="1"/>
  <c r="Q361" i="3" s="1"/>
  <c r="Q362" i="3" s="1"/>
  <c r="Q363" i="3" s="1"/>
  <c r="Q364" i="3" s="1"/>
  <c r="Q365" i="3" s="1"/>
  <c r="Q366" i="3" s="1"/>
  <c r="Q367" i="3" s="1"/>
  <c r="Q368" i="3" s="1"/>
  <c r="Q369" i="3" s="1"/>
  <c r="Q370" i="3" s="1"/>
  <c r="Q371" i="3" s="1"/>
  <c r="Q372" i="3" s="1"/>
  <c r="Q373" i="3" s="1"/>
  <c r="Q374" i="3" s="1"/>
  <c r="Q375" i="3" s="1"/>
  <c r="Q376" i="3" s="1"/>
  <c r="Q377" i="3" s="1"/>
  <c r="Q378" i="3" s="1"/>
  <c r="Q379" i="3" s="1"/>
  <c r="Q380" i="3" s="1"/>
  <c r="Q381" i="3" s="1"/>
  <c r="Q382" i="3" s="1"/>
  <c r="Q383" i="3" s="1"/>
  <c r="Q384" i="3" s="1"/>
  <c r="Q385" i="3" s="1"/>
  <c r="Q386" i="3" s="1"/>
  <c r="Q387" i="3" s="1"/>
  <c r="Q388" i="3" s="1"/>
  <c r="Q389" i="3" s="1"/>
  <c r="Q390" i="3" s="1"/>
  <c r="Q391" i="3" s="1"/>
  <c r="Q392" i="3" s="1"/>
  <c r="Q393" i="3" s="1"/>
  <c r="Q394" i="3" s="1"/>
  <c r="Q395" i="3" s="1"/>
  <c r="Q396" i="3" s="1"/>
  <c r="Q397" i="3" s="1"/>
  <c r="Q398" i="3" s="1"/>
  <c r="Q399" i="3" s="1"/>
  <c r="Q400" i="3" s="1"/>
  <c r="Q401" i="3" s="1"/>
  <c r="Q402" i="3" s="1"/>
  <c r="Q403" i="3" s="1"/>
  <c r="Q404" i="3" s="1"/>
  <c r="Q405" i="3" s="1"/>
  <c r="Q406" i="3" s="1"/>
  <c r="Q407" i="3" s="1"/>
  <c r="Q408" i="3" s="1"/>
  <c r="Q409" i="3" s="1"/>
  <c r="Q410" i="3" s="1"/>
  <c r="Q411" i="3" s="1"/>
  <c r="Q412" i="3" s="1"/>
  <c r="Q413" i="3" s="1"/>
  <c r="Q414" i="3" s="1"/>
  <c r="Q415" i="3" s="1"/>
  <c r="Q416" i="3" s="1"/>
  <c r="Q417" i="3" s="1"/>
  <c r="Q418" i="3" s="1"/>
  <c r="Q419" i="3" s="1"/>
  <c r="Q420" i="3" s="1"/>
  <c r="Q421" i="3" s="1"/>
  <c r="Q422" i="3" s="1"/>
  <c r="Q423" i="3" s="1"/>
  <c r="Q424" i="3" s="1"/>
  <c r="Q425" i="3" s="1"/>
  <c r="Q426" i="3" s="1"/>
  <c r="Q427" i="3" s="1"/>
  <c r="Q428" i="3" s="1"/>
  <c r="Q429" i="3" s="1"/>
  <c r="Q430" i="3" s="1"/>
  <c r="Q431" i="3" s="1"/>
  <c r="Q432" i="3" s="1"/>
  <c r="Q433" i="3" s="1"/>
  <c r="Q434" i="3" s="1"/>
  <c r="Q435" i="3" s="1"/>
  <c r="Q436" i="3" s="1"/>
  <c r="Q437" i="3" s="1"/>
  <c r="Q438" i="3" s="1"/>
  <c r="Q439" i="3" s="1"/>
  <c r="Q440" i="3" s="1"/>
  <c r="Q441" i="3" s="1"/>
  <c r="Q442" i="3" s="1"/>
  <c r="Q443" i="3" s="1"/>
  <c r="Q444" i="3" s="1"/>
  <c r="Q445" i="3" s="1"/>
  <c r="Q446" i="3" s="1"/>
  <c r="Q447" i="3" s="1"/>
  <c r="Q448" i="3" s="1"/>
  <c r="Q449" i="3" s="1"/>
  <c r="Q450" i="3" s="1"/>
  <c r="Q451" i="3" s="1"/>
  <c r="Q452" i="3" s="1"/>
  <c r="Q453" i="3" s="1"/>
  <c r="Q454" i="3" s="1"/>
  <c r="Q455" i="3" s="1"/>
  <c r="Q456" i="3" s="1"/>
  <c r="Q457" i="3" s="1"/>
  <c r="Q458" i="3" s="1"/>
  <c r="Q459" i="3" s="1"/>
  <c r="Q460" i="3" s="1"/>
  <c r="Q461" i="3" s="1"/>
  <c r="Q462" i="3" s="1"/>
  <c r="Q463" i="3" s="1"/>
  <c r="Q464" i="3" s="1"/>
  <c r="Q465" i="3" s="1"/>
  <c r="Q466" i="3" s="1"/>
  <c r="Q467" i="3" s="1"/>
  <c r="Q468" i="3" s="1"/>
  <c r="Q469" i="3" s="1"/>
  <c r="Q470" i="3" s="1"/>
  <c r="Q471" i="3" s="1"/>
  <c r="Q472" i="3" s="1"/>
  <c r="Q473" i="3" s="1"/>
  <c r="Q474" i="3" s="1"/>
  <c r="Q475" i="3" s="1"/>
  <c r="Q476" i="3" s="1"/>
  <c r="Q477" i="3" s="1"/>
  <c r="Q478" i="3" s="1"/>
  <c r="Q479" i="3" s="1"/>
  <c r="Q480" i="3" s="1"/>
  <c r="Q481" i="3" s="1"/>
  <c r="Q482" i="3" s="1"/>
  <c r="Q483" i="3" s="1"/>
  <c r="Q484" i="3" s="1"/>
  <c r="Q485" i="3" s="1"/>
  <c r="Q486" i="3" s="1"/>
  <c r="Q487" i="3" s="1"/>
  <c r="Q488" i="3" s="1"/>
  <c r="Q489" i="3" s="1"/>
  <c r="Q490" i="3" s="1"/>
  <c r="Q491" i="3" s="1"/>
  <c r="Q492" i="3" s="1"/>
  <c r="Q493" i="3" s="1"/>
  <c r="Q494" i="3" s="1"/>
  <c r="Q495" i="3" s="1"/>
  <c r="Q496" i="3" s="1"/>
  <c r="Q497" i="3" s="1"/>
  <c r="Q498" i="3" s="1"/>
  <c r="Q499" i="3" s="1"/>
  <c r="Q500" i="3" s="1"/>
  <c r="Q501" i="3" s="1"/>
  <c r="Q502" i="3" s="1"/>
  <c r="Q503" i="3" s="1"/>
  <c r="Q504" i="3" s="1"/>
  <c r="Q505" i="3" s="1"/>
  <c r="Q506" i="3" s="1"/>
  <c r="Q507" i="3" s="1"/>
  <c r="Q508" i="3" s="1"/>
  <c r="Q509" i="3" s="1"/>
  <c r="Q510" i="3" s="1"/>
  <c r="Q511" i="3" s="1"/>
  <c r="Q512" i="3" s="1"/>
  <c r="Q513" i="3" s="1"/>
  <c r="Q514" i="3" s="1"/>
  <c r="Q515" i="3" s="1"/>
  <c r="Q516" i="3" s="1"/>
  <c r="Q517" i="3" s="1"/>
  <c r="Q518" i="3" s="1"/>
  <c r="Q519" i="3" s="1"/>
  <c r="Q520" i="3" s="1"/>
  <c r="Q521" i="3" s="1"/>
  <c r="Q522" i="3" s="1"/>
  <c r="Q523" i="3" s="1"/>
  <c r="Q524" i="3" s="1"/>
  <c r="Q525" i="3" s="1"/>
  <c r="Q526" i="3" s="1"/>
  <c r="Q527" i="3" s="1"/>
  <c r="Q528" i="3" s="1"/>
  <c r="Q529" i="3" s="1"/>
  <c r="Q530" i="3" s="1"/>
  <c r="Q531" i="3" s="1"/>
  <c r="Q532" i="3" s="1"/>
  <c r="Q533" i="3" s="1"/>
  <c r="Q534" i="3" s="1"/>
  <c r="Q535" i="3" s="1"/>
  <c r="Q536" i="3" s="1"/>
  <c r="Q537" i="3" s="1"/>
  <c r="Q538" i="3" s="1"/>
  <c r="Q539" i="3" s="1"/>
  <c r="Q540" i="3" s="1"/>
  <c r="Q541" i="3" s="1"/>
  <c r="Q542" i="3" s="1"/>
  <c r="Q543" i="3" s="1"/>
  <c r="Q544" i="3" s="1"/>
  <c r="Q545" i="3" s="1"/>
  <c r="Q546" i="3" s="1"/>
  <c r="Q547" i="3" s="1"/>
  <c r="Q548" i="3" s="1"/>
  <c r="Q549" i="3" s="1"/>
  <c r="Q550" i="3" s="1"/>
  <c r="Q551" i="3" s="1"/>
  <c r="Q552" i="3" s="1"/>
  <c r="Q553" i="3" s="1"/>
  <c r="Q554" i="3" s="1"/>
  <c r="Q555" i="3" s="1"/>
  <c r="Q556" i="3" s="1"/>
  <c r="Q557" i="3" s="1"/>
  <c r="Q558" i="3" s="1"/>
  <c r="Q559" i="3" s="1"/>
  <c r="Q560" i="3" s="1"/>
  <c r="Q561" i="3" s="1"/>
  <c r="Q562" i="3" s="1"/>
  <c r="Q563" i="3" s="1"/>
  <c r="Q564" i="3" s="1"/>
  <c r="Q565" i="3" s="1"/>
  <c r="Q566" i="3" s="1"/>
  <c r="Q567" i="3" s="1"/>
  <c r="Q568" i="3" s="1"/>
  <c r="Q569" i="3" s="1"/>
  <c r="Q570" i="3" s="1"/>
  <c r="Q571" i="3" s="1"/>
  <c r="Q572" i="3" s="1"/>
  <c r="Q573" i="3" s="1"/>
  <c r="Q574" i="3" s="1"/>
  <c r="Q575" i="3" s="1"/>
  <c r="Q576" i="3" s="1"/>
  <c r="Q577" i="3" s="1"/>
  <c r="Q578" i="3" s="1"/>
  <c r="Q579" i="3" s="1"/>
  <c r="Q580" i="3" s="1"/>
  <c r="Q581" i="3" s="1"/>
  <c r="Q582" i="3" s="1"/>
  <c r="Q583" i="3" s="1"/>
  <c r="Q584" i="3" s="1"/>
  <c r="Q585" i="3" s="1"/>
  <c r="Q586" i="3" s="1"/>
  <c r="Q587" i="3" s="1"/>
  <c r="Q588" i="3" s="1"/>
  <c r="Q589" i="3" s="1"/>
  <c r="Q590" i="3" s="1"/>
  <c r="Q591" i="3" s="1"/>
  <c r="Q592" i="3" s="1"/>
  <c r="Q593" i="3" s="1"/>
  <c r="Q594" i="3" s="1"/>
  <c r="Q595" i="3" s="1"/>
  <c r="Q596" i="3" s="1"/>
  <c r="Q597" i="3" s="1"/>
  <c r="Q598" i="3" s="1"/>
  <c r="Q599" i="3" s="1"/>
  <c r="Q600" i="3" s="1"/>
  <c r="Q601" i="3" s="1"/>
  <c r="Q602" i="3" s="1"/>
  <c r="Q603" i="3" s="1"/>
  <c r="Q604" i="3" s="1"/>
  <c r="Q605" i="3" s="1"/>
  <c r="Q606" i="3" s="1"/>
  <c r="Q607" i="3" s="1"/>
  <c r="Q608" i="3" s="1"/>
  <c r="Q609" i="3" s="1"/>
  <c r="Q610" i="3" s="1"/>
  <c r="Q611" i="3" s="1"/>
  <c r="Q612" i="3" s="1"/>
  <c r="Q613" i="3" s="1"/>
  <c r="Q614" i="3" s="1"/>
  <c r="Q615" i="3" s="1"/>
  <c r="Q616" i="3" s="1"/>
  <c r="Q617" i="3" s="1"/>
  <c r="Q618" i="3" s="1"/>
  <c r="Q619" i="3" s="1"/>
  <c r="Q620" i="3" s="1"/>
  <c r="Q621" i="3" s="1"/>
  <c r="Q622" i="3" s="1"/>
  <c r="Q623" i="3" s="1"/>
  <c r="Q624" i="3" s="1"/>
  <c r="Q625" i="3" s="1"/>
  <c r="Q626" i="3" s="1"/>
  <c r="Q627" i="3" s="1"/>
  <c r="Q628" i="3" s="1"/>
  <c r="Q629" i="3" s="1"/>
  <c r="Q630" i="3" s="1"/>
  <c r="Q631" i="3" s="1"/>
  <c r="Q632" i="3" s="1"/>
  <c r="Q633" i="3" s="1"/>
  <c r="Q634" i="3" s="1"/>
  <c r="Q635" i="3" s="1"/>
  <c r="Q636" i="3" s="1"/>
  <c r="Q637" i="3" s="1"/>
  <c r="Q638" i="3" s="1"/>
  <c r="Q639" i="3" s="1"/>
  <c r="Q640" i="3" s="1"/>
  <c r="Q641" i="3" s="1"/>
  <c r="Q642" i="3" s="1"/>
  <c r="Q643" i="3" s="1"/>
  <c r="Q644" i="3" s="1"/>
  <c r="Q645" i="3" s="1"/>
  <c r="Q646" i="3" s="1"/>
  <c r="Q647" i="3" s="1"/>
  <c r="Q648" i="3" s="1"/>
  <c r="Q649" i="3" s="1"/>
  <c r="Q650" i="3" s="1"/>
  <c r="Q651" i="3" s="1"/>
  <c r="Q652" i="3" s="1"/>
  <c r="Q653" i="3" s="1"/>
  <c r="Q654" i="3" s="1"/>
  <c r="Q655" i="3" s="1"/>
  <c r="Q656" i="3" s="1"/>
  <c r="Q657" i="3" s="1"/>
  <c r="Q658" i="3" s="1"/>
  <c r="Q659" i="3" s="1"/>
  <c r="Q660" i="3" s="1"/>
  <c r="Q661" i="3" s="1"/>
  <c r="Q662" i="3" s="1"/>
  <c r="Q663" i="3" s="1"/>
  <c r="Q664" i="3" s="1"/>
  <c r="Q665" i="3" s="1"/>
  <c r="Q666" i="3" s="1"/>
  <c r="Q667" i="3" s="1"/>
  <c r="Q668" i="3" s="1"/>
  <c r="Q669" i="3" s="1"/>
  <c r="Q670" i="3" s="1"/>
  <c r="Q671" i="3" s="1"/>
  <c r="Q672" i="3" s="1"/>
  <c r="Q673" i="3" s="1"/>
  <c r="Q674" i="3" s="1"/>
  <c r="Q675" i="3" s="1"/>
  <c r="Q676" i="3" s="1"/>
  <c r="Q677" i="3" s="1"/>
  <c r="Q678" i="3" s="1"/>
  <c r="Q679" i="3" s="1"/>
  <c r="Q680" i="3" s="1"/>
  <c r="Q681" i="3" s="1"/>
  <c r="Q682" i="3" s="1"/>
  <c r="Q683" i="3" s="1"/>
  <c r="Q684" i="3" s="1"/>
  <c r="Q685" i="3" s="1"/>
  <c r="Q686" i="3" s="1"/>
  <c r="Q687" i="3" s="1"/>
  <c r="Q688" i="3" s="1"/>
  <c r="Q689" i="3" s="1"/>
  <c r="Q690" i="3" s="1"/>
  <c r="Q691" i="3" s="1"/>
  <c r="Q692" i="3" s="1"/>
  <c r="Q693" i="3" s="1"/>
  <c r="Q694" i="3" s="1"/>
  <c r="Q695" i="3" s="1"/>
  <c r="Q696" i="3" s="1"/>
  <c r="Q697" i="3" s="1"/>
  <c r="Q698" i="3" s="1"/>
  <c r="Q699" i="3" s="1"/>
  <c r="Q700" i="3" s="1"/>
  <c r="Q701" i="3" s="1"/>
  <c r="Q702" i="3" s="1"/>
  <c r="Q703" i="3" s="1"/>
  <c r="Q704" i="3" s="1"/>
  <c r="Q705" i="3" s="1"/>
  <c r="Q706" i="3" s="1"/>
  <c r="Q707" i="3" s="1"/>
  <c r="Q708" i="3" s="1"/>
  <c r="Q709" i="3" s="1"/>
  <c r="Q710" i="3" s="1"/>
  <c r="Q711" i="3" s="1"/>
  <c r="Q712" i="3" s="1"/>
  <c r="Q713" i="3" s="1"/>
  <c r="Q714" i="3" s="1"/>
  <c r="Q715" i="3" s="1"/>
  <c r="Q716" i="3" s="1"/>
  <c r="Q717" i="3" s="1"/>
  <c r="Q718" i="3" s="1"/>
  <c r="Q719" i="3" s="1"/>
  <c r="Q720" i="3" s="1"/>
  <c r="Q721" i="3" s="1"/>
  <c r="Q722" i="3" s="1"/>
  <c r="Q723" i="3" s="1"/>
  <c r="Q724" i="3" s="1"/>
  <c r="Q725" i="3" s="1"/>
  <c r="Q726" i="3" s="1"/>
  <c r="Q727" i="3" s="1"/>
  <c r="Q728" i="3" s="1"/>
  <c r="Q729" i="3" s="1"/>
  <c r="Q730" i="3" s="1"/>
  <c r="Q731" i="3" s="1"/>
  <c r="Q732" i="3" s="1"/>
  <c r="Q733" i="3" s="1"/>
  <c r="Q734" i="3" s="1"/>
  <c r="Q735" i="3" s="1"/>
  <c r="Q736" i="3" s="1"/>
  <c r="Q737" i="3" s="1"/>
  <c r="Q738" i="3" s="1"/>
  <c r="Q739" i="3" s="1"/>
  <c r="Q740" i="3" s="1"/>
  <c r="Q741" i="3" s="1"/>
  <c r="Q742" i="3" s="1"/>
  <c r="Q743" i="3" s="1"/>
  <c r="Q744" i="3" s="1"/>
  <c r="Q745" i="3" s="1"/>
  <c r="Q746" i="3" s="1"/>
  <c r="Q747" i="3" s="1"/>
  <c r="Q748" i="3" s="1"/>
  <c r="Q749" i="3" s="1"/>
  <c r="Q750" i="3" s="1"/>
  <c r="Q751" i="3" s="1"/>
  <c r="Q752" i="3" s="1"/>
  <c r="Q753" i="3" s="1"/>
  <c r="Q754" i="3" s="1"/>
  <c r="Q755" i="3" s="1"/>
  <c r="Q756" i="3" s="1"/>
  <c r="Q757" i="3" s="1"/>
  <c r="Q758" i="3" s="1"/>
  <c r="Q759" i="3" s="1"/>
  <c r="Q760" i="3" s="1"/>
  <c r="Q761" i="3" s="1"/>
  <c r="Q762" i="3" s="1"/>
  <c r="Q763" i="3" s="1"/>
  <c r="Q764" i="3" s="1"/>
  <c r="Q765" i="3" s="1"/>
  <c r="Q766" i="3" s="1"/>
  <c r="Q767" i="3" s="1"/>
  <c r="Q768" i="3" s="1"/>
  <c r="Q769" i="3" s="1"/>
  <c r="Q770" i="3" s="1"/>
  <c r="Q771" i="3" s="1"/>
  <c r="Q772" i="3" s="1"/>
  <c r="Q773" i="3" s="1"/>
  <c r="Q774" i="3" s="1"/>
  <c r="Q775" i="3" s="1"/>
  <c r="Q776" i="3" s="1"/>
  <c r="Q777" i="3" s="1"/>
  <c r="Q778" i="3" s="1"/>
  <c r="Q779" i="3" s="1"/>
  <c r="Q780" i="3" s="1"/>
  <c r="Q781" i="3" s="1"/>
  <c r="Q782" i="3" s="1"/>
  <c r="Q783" i="3" s="1"/>
  <c r="Q784" i="3" s="1"/>
  <c r="Q785" i="3" s="1"/>
  <c r="Q786" i="3" s="1"/>
  <c r="Q787" i="3" s="1"/>
  <c r="Q788" i="3" s="1"/>
  <c r="Q789" i="3" s="1"/>
  <c r="Q790" i="3" s="1"/>
  <c r="Q791" i="3" s="1"/>
  <c r="Q792" i="3" s="1"/>
  <c r="Q793" i="3" s="1"/>
  <c r="Q794" i="3" s="1"/>
  <c r="Q795" i="3" s="1"/>
  <c r="Q796" i="3" s="1"/>
  <c r="Q797" i="3" s="1"/>
  <c r="Q798" i="3" s="1"/>
  <c r="Q799" i="3" s="1"/>
  <c r="Q800" i="3" s="1"/>
  <c r="Q801" i="3" s="1"/>
  <c r="Q802" i="3" s="1"/>
  <c r="Q803" i="3" s="1"/>
  <c r="Q804" i="3" s="1"/>
  <c r="Q805" i="3" s="1"/>
  <c r="Q806" i="3" s="1"/>
  <c r="Q807" i="3" s="1"/>
  <c r="Q808" i="3" s="1"/>
  <c r="Q809" i="3" s="1"/>
  <c r="Q810" i="3" s="1"/>
  <c r="Q811" i="3" s="1"/>
  <c r="Q812" i="3" s="1"/>
  <c r="Q813" i="3" s="1"/>
  <c r="Q814" i="3" s="1"/>
  <c r="Q815" i="3" s="1"/>
  <c r="Q816" i="3" s="1"/>
  <c r="Q817" i="3" s="1"/>
  <c r="Q818" i="3" s="1"/>
  <c r="Q819" i="3" s="1"/>
  <c r="Q820" i="3" s="1"/>
  <c r="Q821" i="3" s="1"/>
  <c r="Q822" i="3" s="1"/>
  <c r="Q823" i="3" s="1"/>
  <c r="Q824" i="3" s="1"/>
  <c r="Q825" i="3" s="1"/>
  <c r="Q826" i="3" s="1"/>
  <c r="Q827" i="3" s="1"/>
  <c r="Q828" i="3" s="1"/>
  <c r="Q829" i="3" s="1"/>
  <c r="Q830" i="3" s="1"/>
  <c r="Q831" i="3" s="1"/>
  <c r="Q832" i="3" s="1"/>
  <c r="Q833" i="3" s="1"/>
  <c r="Q834" i="3" s="1"/>
  <c r="Q835" i="3" s="1"/>
  <c r="Q836" i="3" s="1"/>
  <c r="Q837" i="3" s="1"/>
  <c r="Q838" i="3" s="1"/>
  <c r="Q839" i="3" s="1"/>
  <c r="Q840" i="3" s="1"/>
  <c r="Q841" i="3" s="1"/>
  <c r="Q842" i="3" s="1"/>
  <c r="Q843" i="3" s="1"/>
  <c r="Q844" i="3" s="1"/>
  <c r="Q845" i="3" s="1"/>
  <c r="Q846" i="3" s="1"/>
  <c r="Q847" i="3" s="1"/>
  <c r="Q848" i="3" s="1"/>
  <c r="Q849" i="3" s="1"/>
  <c r="Q850" i="3" s="1"/>
  <c r="Q851" i="3" s="1"/>
  <c r="Q852" i="3" s="1"/>
  <c r="Q853" i="3" s="1"/>
  <c r="Q854" i="3" s="1"/>
  <c r="Q855" i="3" s="1"/>
  <c r="Q856" i="3" s="1"/>
  <c r="Q857" i="3" s="1"/>
  <c r="Q858" i="3" s="1"/>
  <c r="Q859" i="3" s="1"/>
  <c r="Q860" i="3" s="1"/>
  <c r="Q861" i="3" s="1"/>
  <c r="Q862" i="3" s="1"/>
  <c r="Q863" i="3" s="1"/>
  <c r="Q864" i="3" s="1"/>
  <c r="Q865" i="3" s="1"/>
  <c r="Q866" i="3" s="1"/>
  <c r="Q867" i="3" s="1"/>
  <c r="Q868" i="3" s="1"/>
  <c r="Q869" i="3" s="1"/>
  <c r="Q870" i="3" s="1"/>
  <c r="Q871" i="3" s="1"/>
  <c r="Q872" i="3" s="1"/>
  <c r="Q873" i="3" s="1"/>
  <c r="Q874" i="3" s="1"/>
  <c r="Q875" i="3" s="1"/>
  <c r="Q876" i="3" s="1"/>
  <c r="Q877" i="3" s="1"/>
  <c r="Q878" i="3" s="1"/>
  <c r="Q879" i="3" s="1"/>
  <c r="Q880" i="3" s="1"/>
  <c r="Q881" i="3" s="1"/>
  <c r="Q882" i="3" s="1"/>
  <c r="Q883" i="3" s="1"/>
  <c r="Q884" i="3" s="1"/>
  <c r="Q885" i="3" s="1"/>
  <c r="Q886" i="3" s="1"/>
  <c r="Q887" i="3" s="1"/>
  <c r="Q888" i="3" s="1"/>
  <c r="Q889" i="3" s="1"/>
  <c r="Q890" i="3" s="1"/>
  <c r="Q891" i="3" s="1"/>
  <c r="Q892" i="3" s="1"/>
  <c r="Q893" i="3" s="1"/>
  <c r="Q894" i="3" s="1"/>
  <c r="Q895" i="3" s="1"/>
  <c r="Q896" i="3" s="1"/>
  <c r="Q897" i="3" s="1"/>
  <c r="Q898" i="3" s="1"/>
  <c r="Q899" i="3" s="1"/>
  <c r="Q900" i="3" s="1"/>
  <c r="Q901" i="3" s="1"/>
  <c r="Q902" i="3" s="1"/>
  <c r="Q903" i="3" s="1"/>
  <c r="Q904" i="3" s="1"/>
  <c r="Q905" i="3" s="1"/>
  <c r="Q906" i="3" s="1"/>
  <c r="Q907" i="3" s="1"/>
  <c r="Q908" i="3" s="1"/>
  <c r="Q909" i="3" s="1"/>
  <c r="Q910" i="3" s="1"/>
  <c r="Q911" i="3" s="1"/>
  <c r="Q912" i="3" s="1"/>
  <c r="Q913" i="3" s="1"/>
  <c r="Q914" i="3" s="1"/>
  <c r="Q915" i="3" s="1"/>
  <c r="Q916" i="3" s="1"/>
  <c r="Q917" i="3" s="1"/>
  <c r="Q918" i="3" s="1"/>
  <c r="Q919" i="3" s="1"/>
  <c r="Q920" i="3" s="1"/>
  <c r="Q921" i="3" s="1"/>
  <c r="Q922" i="3" s="1"/>
  <c r="Q923" i="3" s="1"/>
  <c r="Q924" i="3" s="1"/>
  <c r="Q925" i="3" s="1"/>
  <c r="Q926" i="3" s="1"/>
  <c r="Q927" i="3" s="1"/>
  <c r="Q928" i="3" s="1"/>
  <c r="Q929" i="3" s="1"/>
  <c r="Q930" i="3" s="1"/>
  <c r="Q931" i="3" s="1"/>
  <c r="Q932" i="3" s="1"/>
  <c r="Q933" i="3" s="1"/>
  <c r="Q934" i="3" s="1"/>
  <c r="Q935" i="3" s="1"/>
  <c r="Q936" i="3" s="1"/>
  <c r="Q937" i="3" s="1"/>
  <c r="Q938" i="3" s="1"/>
  <c r="Q939" i="3" s="1"/>
  <c r="Q940" i="3" s="1"/>
  <c r="Q941" i="3" s="1"/>
  <c r="Q942" i="3" s="1"/>
  <c r="Q943" i="3" s="1"/>
  <c r="Q944" i="3" s="1"/>
  <c r="Q945" i="3" s="1"/>
  <c r="Q946" i="3" s="1"/>
  <c r="Q947" i="3" s="1"/>
  <c r="Q948" i="3" s="1"/>
  <c r="Q949" i="3" s="1"/>
  <c r="Q950" i="3" s="1"/>
  <c r="Q951" i="3" s="1"/>
  <c r="Q952" i="3" s="1"/>
  <c r="Q953" i="3" s="1"/>
  <c r="Q954" i="3" s="1"/>
  <c r="Q955" i="3" s="1"/>
  <c r="Q956" i="3" s="1"/>
  <c r="Q957" i="3" s="1"/>
  <c r="Q958" i="3" s="1"/>
  <c r="Q959" i="3" s="1"/>
  <c r="Q960" i="3" s="1"/>
  <c r="Q961" i="3" s="1"/>
  <c r="Q962" i="3" s="1"/>
  <c r="Q963" i="3" s="1"/>
  <c r="Q964" i="3" s="1"/>
  <c r="Q965" i="3" s="1"/>
  <c r="Q966" i="3" s="1"/>
  <c r="Q967" i="3" s="1"/>
  <c r="Q968" i="3" s="1"/>
  <c r="Q969" i="3" s="1"/>
  <c r="Q970" i="3" s="1"/>
  <c r="Q971" i="3" s="1"/>
  <c r="Q972" i="3" s="1"/>
  <c r="Q973" i="3" s="1"/>
  <c r="Q974" i="3" s="1"/>
  <c r="Q975" i="3" s="1"/>
  <c r="Q976" i="3" s="1"/>
  <c r="Q977" i="3" s="1"/>
  <c r="Q978" i="3" s="1"/>
  <c r="Q979" i="3" s="1"/>
  <c r="Q980" i="3" s="1"/>
  <c r="Q981" i="3" s="1"/>
  <c r="Q982" i="3" s="1"/>
  <c r="Q983" i="3" s="1"/>
  <c r="Q984" i="3" s="1"/>
  <c r="Q985" i="3" s="1"/>
  <c r="Q986" i="3" s="1"/>
  <c r="Q987" i="3" s="1"/>
  <c r="Q988" i="3" s="1"/>
  <c r="Q989" i="3" s="1"/>
  <c r="Q990" i="3" s="1"/>
  <c r="Q991" i="3" s="1"/>
  <c r="Q992" i="3" s="1"/>
  <c r="Q993" i="3" s="1"/>
  <c r="Q994" i="3" s="1"/>
  <c r="Q995" i="3" s="1"/>
  <c r="Q996" i="3" s="1"/>
  <c r="Q997" i="3" s="1"/>
  <c r="Q998" i="3" s="1"/>
  <c r="Q999" i="3" s="1"/>
  <c r="Q1000" i="3" s="1"/>
  <c r="Q1001" i="3" s="1"/>
  <c r="Q1002" i="3" s="1"/>
  <c r="Q1003" i="3" s="1"/>
  <c r="Q1004" i="3" s="1"/>
  <c r="Q1005" i="3" s="1"/>
  <c r="Q1006" i="3" s="1"/>
  <c r="Q1007" i="3" s="1"/>
  <c r="Q1008" i="3" s="1"/>
  <c r="Q1009" i="3" s="1"/>
  <c r="Q1010" i="3" s="1"/>
  <c r="Q1011" i="3" s="1"/>
  <c r="Q1012" i="3" s="1"/>
  <c r="Q1013" i="3" s="1"/>
  <c r="Q1014" i="3" s="1"/>
  <c r="Q1015" i="3" s="1"/>
  <c r="Q1016" i="3" s="1"/>
  <c r="Q1017" i="3" s="1"/>
  <c r="Q1018" i="3" s="1"/>
  <c r="Q1019" i="3" s="1"/>
  <c r="Q1020" i="3" s="1"/>
  <c r="Q1021" i="3" s="1"/>
  <c r="Q1022" i="3" s="1"/>
  <c r="Q1023" i="3" s="1"/>
  <c r="Q1024" i="3" s="1"/>
  <c r="Q1025" i="3" s="1"/>
  <c r="Q1026" i="3" s="1"/>
  <c r="Q1027" i="3" s="1"/>
  <c r="Q1028" i="3" s="1"/>
  <c r="Q1029" i="3" s="1"/>
  <c r="Q1030" i="3" s="1"/>
  <c r="Q1031" i="3" s="1"/>
  <c r="Q1032" i="3" s="1"/>
  <c r="Q1033" i="3" s="1"/>
  <c r="Q1034" i="3" s="1"/>
  <c r="Q1035" i="3" s="1"/>
  <c r="Q1036" i="3" s="1"/>
  <c r="Q1037" i="3" s="1"/>
  <c r="Q1038" i="3" s="1"/>
  <c r="Q1039" i="3" s="1"/>
  <c r="Q1040" i="3" s="1"/>
  <c r="Q1041" i="3" s="1"/>
  <c r="Q1042" i="3" s="1"/>
  <c r="Q1043" i="3" s="1"/>
  <c r="Q1044" i="3" s="1"/>
  <c r="Q1045" i="3" s="1"/>
  <c r="Q1046" i="3" s="1"/>
  <c r="Q1047" i="3" s="1"/>
  <c r="Q1048" i="3" s="1"/>
  <c r="Q1049" i="3" s="1"/>
  <c r="Q1050" i="3" s="1"/>
  <c r="Q1051" i="3" s="1"/>
  <c r="Q1052" i="3" s="1"/>
  <c r="Q7" i="3" l="1"/>
  <c r="Q8" i="3" s="1"/>
  <c r="Q9" i="3" s="1"/>
  <c r="Q10" i="3" s="1"/>
  <c r="Q11" i="3" s="1"/>
  <c r="Q12" i="3" s="1"/>
  <c r="Q13" i="3" s="1"/>
  <c r="Q14" i="3" s="1"/>
  <c r="Q15" i="3" s="1"/>
  <c r="Q16" i="3" s="1"/>
  <c r="Q17" i="3" s="1"/>
  <c r="Q18" i="3" s="1"/>
  <c r="Q19" i="3" s="1"/>
  <c r="Q20" i="3" s="1"/>
  <c r="Q21" i="3" s="1"/>
  <c r="Q22" i="3" s="1"/>
  <c r="Q23" i="3" s="1"/>
  <c r="Q24" i="3" s="1"/>
  <c r="Q25" i="3" s="1"/>
  <c r="Q26" i="3" s="1"/>
  <c r="Q27" i="3" s="1"/>
  <c r="Q28" i="3" s="1"/>
  <c r="Q29" i="3" s="1"/>
  <c r="Q30" i="3" s="1"/>
  <c r="Q31" i="3" s="1"/>
  <c r="Q32" i="3" s="1"/>
  <c r="Q33" i="3" s="1"/>
  <c r="Q34" i="3" s="1"/>
  <c r="Q35" i="3" s="1"/>
  <c r="Q36" i="3" s="1"/>
  <c r="Q37" i="3" s="1"/>
  <c r="Q38" i="3" s="1"/>
  <c r="Q39" i="3" s="1"/>
  <c r="Q40" i="3" s="1"/>
  <c r="Q41" i="3" s="1"/>
  <c r="Q42" i="3" s="1"/>
  <c r="Q43" i="3" s="1"/>
  <c r="Q44" i="3" s="1"/>
  <c r="Q45" i="3" s="1"/>
  <c r="Q46" i="3" s="1"/>
  <c r="Q47" i="3" s="1"/>
  <c r="Q48" i="3" s="1"/>
  <c r="Q49" i="3" s="1"/>
  <c r="Q50" i="3" s="1"/>
  <c r="Q51" i="3" s="1"/>
  <c r="Q52" i="3" s="1"/>
  <c r="Q53" i="3" s="1"/>
  <c r="Q54" i="3" s="1"/>
  <c r="Q55" i="3" s="1"/>
  <c r="Q56" i="3" s="1"/>
  <c r="Q57" i="3" s="1"/>
  <c r="Q58" i="3" s="1"/>
  <c r="Q59" i="3" s="1"/>
  <c r="Q60" i="3" s="1"/>
  <c r="Q61" i="3" s="1"/>
  <c r="Q62" i="3" s="1"/>
  <c r="Q63" i="3" s="1"/>
  <c r="Q64" i="3" s="1"/>
  <c r="Q65" i="3" s="1"/>
  <c r="Q66" i="3" s="1"/>
  <c r="Q67" i="3" s="1"/>
  <c r="Q68" i="3" s="1"/>
  <c r="Q69" i="3" s="1"/>
  <c r="Q70" i="3" s="1"/>
  <c r="Q71" i="3" s="1"/>
  <c r="Q72" i="3" s="1"/>
  <c r="Q73" i="3" s="1"/>
  <c r="Q74" i="3" s="1"/>
  <c r="Q75" i="3" s="1"/>
  <c r="Q76" i="3" s="1"/>
  <c r="Q77" i="3" s="1"/>
  <c r="Q78" i="3" s="1"/>
  <c r="Q79" i="3" s="1"/>
  <c r="Q80" i="3" s="1"/>
  <c r="Q81" i="3" s="1"/>
  <c r="Q82" i="3" s="1"/>
  <c r="Q83" i="3" s="1"/>
  <c r="Q84" i="3" s="1"/>
  <c r="Q85" i="3" s="1"/>
  <c r="Q86" i="3" s="1"/>
  <c r="Q87" i="3" s="1"/>
  <c r="Q88" i="3" s="1"/>
  <c r="Q89" i="3" s="1"/>
  <c r="Q90" i="3" s="1"/>
  <c r="Q91" i="3" s="1"/>
  <c r="Q92" i="3" s="1"/>
  <c r="Q93" i="3" s="1"/>
  <c r="Q94" i="3" s="1"/>
  <c r="Q95" i="3" s="1"/>
  <c r="Q96" i="3" s="1"/>
  <c r="Q97" i="3" s="1"/>
  <c r="Q98" i="3" s="1"/>
  <c r="Q99" i="3" s="1"/>
  <c r="Q100" i="3" s="1"/>
  <c r="Q101" i="3" s="1"/>
  <c r="Q102" i="3" s="1"/>
  <c r="Q103" i="3" s="1"/>
  <c r="Q104" i="3" s="1"/>
  <c r="Q105" i="3" s="1"/>
  <c r="Q106" i="3" s="1"/>
  <c r="Q107" i="3" s="1"/>
  <c r="Q108" i="3" s="1"/>
  <c r="Q109" i="3" s="1"/>
  <c r="Q110" i="3" s="1"/>
  <c r="Q111" i="3" s="1"/>
  <c r="Q112" i="3" s="1"/>
  <c r="Q113" i="3" s="1"/>
  <c r="Q114" i="3" s="1"/>
  <c r="Q115" i="3" s="1"/>
  <c r="Q116" i="3" s="1"/>
  <c r="Q117" i="3" s="1"/>
  <c r="Q118" i="3" s="1"/>
  <c r="Q119" i="3" s="1"/>
  <c r="Q120" i="3" s="1"/>
  <c r="Q121" i="3" s="1"/>
  <c r="Q122" i="3" s="1"/>
  <c r="Q123" i="3" s="1"/>
  <c r="Q124" i="3" s="1"/>
  <c r="Q125" i="3" s="1"/>
  <c r="Q126" i="3" s="1"/>
  <c r="Q127" i="3" s="1"/>
  <c r="Q128" i="3" s="1"/>
  <c r="Q129" i="3" s="1"/>
  <c r="Q130" i="3" s="1"/>
  <c r="Q131" i="3" s="1"/>
  <c r="Q132" i="3" s="1"/>
  <c r="Q133" i="3" s="1"/>
  <c r="Q134" i="3" s="1"/>
  <c r="Q135" i="3" s="1"/>
  <c r="Q136" i="3" s="1"/>
  <c r="Q137" i="3" s="1"/>
  <c r="Q138" i="3" s="1"/>
  <c r="Q139" i="3" s="1"/>
  <c r="Q140" i="3" s="1"/>
  <c r="Q141" i="3" s="1"/>
  <c r="Q142" i="3" s="1"/>
  <c r="Q143" i="3" s="1"/>
  <c r="Q144" i="3" s="1"/>
  <c r="Q145" i="3" s="1"/>
  <c r="Q146" i="3" s="1"/>
  <c r="Q147" i="3" s="1"/>
  <c r="Q148" i="3" s="1"/>
  <c r="Q149" i="3" s="1"/>
  <c r="Q150" i="3" s="1"/>
  <c r="Q151" i="3" s="1"/>
  <c r="Q152" i="3" s="1"/>
  <c r="Q153" i="3" s="1"/>
  <c r="Q154" i="3" s="1"/>
  <c r="Q155" i="3" s="1"/>
  <c r="Q156" i="3" s="1"/>
  <c r="Q157" i="3" s="1"/>
  <c r="Q158" i="3" s="1"/>
  <c r="Q159" i="3" s="1"/>
  <c r="Q160" i="3" s="1"/>
  <c r="Q161" i="3" s="1"/>
  <c r="Q162" i="3" s="1"/>
  <c r="Q163" i="3" s="1"/>
  <c r="Q164" i="3" s="1"/>
  <c r="Q165" i="3" s="1"/>
  <c r="Q166" i="3" s="1"/>
  <c r="Q167" i="3" s="1"/>
  <c r="Q168" i="3" s="1"/>
  <c r="Q169" i="3" s="1"/>
  <c r="Q170" i="3" s="1"/>
  <c r="Q171" i="3" s="1"/>
  <c r="Q172" i="3" s="1"/>
  <c r="Q173" i="3" s="1"/>
  <c r="Q174" i="3" s="1"/>
  <c r="Q175" i="3" s="1"/>
  <c r="Q176" i="3" s="1"/>
  <c r="Q177" i="3" s="1"/>
  <c r="Q178" i="3" s="1"/>
  <c r="Q179" i="3" s="1"/>
  <c r="Q180" i="3" s="1"/>
  <c r="Q181" i="3" s="1"/>
  <c r="Q182" i="3" s="1"/>
  <c r="Q183" i="3" s="1"/>
  <c r="Q184" i="3" s="1"/>
  <c r="Q185" i="3" s="1"/>
  <c r="Q186" i="3" s="1"/>
  <c r="Q187" i="3" s="1"/>
  <c r="Q188" i="3" s="1"/>
  <c r="Q189" i="3" s="1"/>
  <c r="Q190" i="3" s="1"/>
  <c r="Q191" i="3" s="1"/>
  <c r="Q192" i="3" s="1"/>
  <c r="Q193" i="3" s="1"/>
  <c r="Q194" i="3" s="1"/>
  <c r="Q195" i="3" s="1"/>
  <c r="Q196" i="3" s="1"/>
  <c r="Q197" i="3" s="1"/>
  <c r="Q198" i="3" s="1"/>
  <c r="Q199" i="3" s="1"/>
  <c r="Q200" i="3" s="1"/>
  <c r="Q201" i="3" s="1"/>
  <c r="Q202" i="3" s="1"/>
  <c r="Q203" i="3" s="1"/>
  <c r="Q204" i="3" s="1"/>
  <c r="Q205" i="3" s="1"/>
  <c r="Q206" i="3" s="1"/>
  <c r="Q207" i="3" s="1"/>
  <c r="Q208" i="3" s="1"/>
  <c r="Q209" i="3" s="1"/>
  <c r="Q210" i="3" s="1"/>
  <c r="Q211" i="3" s="1"/>
  <c r="Q212" i="3" s="1"/>
  <c r="Q213" i="3" s="1"/>
  <c r="Q214" i="3" s="1"/>
  <c r="Q215" i="3" s="1"/>
  <c r="Q216" i="3" s="1"/>
  <c r="Q217" i="3" s="1"/>
  <c r="Q218" i="3" s="1"/>
  <c r="Q219" i="3" s="1"/>
  <c r="Q220" i="3" s="1"/>
  <c r="Q221" i="3" s="1"/>
  <c r="Q222" i="3" s="1"/>
  <c r="Q223" i="3" s="1"/>
  <c r="Q224" i="3" s="1"/>
  <c r="Q225" i="3" s="1"/>
  <c r="Q226" i="3" s="1"/>
  <c r="Q227" i="3" s="1"/>
  <c r="Q228" i="3" s="1"/>
  <c r="Q229" i="3" s="1"/>
  <c r="Q230" i="3" s="1"/>
  <c r="Q231" i="3" s="1"/>
  <c r="Q232" i="3" s="1"/>
  <c r="Q233" i="3" s="1"/>
  <c r="Q234" i="3" s="1"/>
  <c r="Q235" i="3" s="1"/>
  <c r="Q236" i="3" s="1"/>
  <c r="Q237" i="3" s="1"/>
  <c r="Q238" i="3" s="1"/>
  <c r="Q239" i="3" s="1"/>
  <c r="Q240" i="3" s="1"/>
  <c r="Q241" i="3" s="1"/>
  <c r="Q242" i="3" s="1"/>
  <c r="Q243" i="3" s="1"/>
  <c r="Q244" i="3" s="1"/>
  <c r="Q245" i="3" s="1"/>
  <c r="Q246" i="3" s="1"/>
  <c r="Q247" i="3" s="1"/>
  <c r="Q248" i="3" s="1"/>
  <c r="Q249" i="3" s="1"/>
  <c r="Q250" i="3" s="1"/>
</calcChain>
</file>

<file path=xl/sharedStrings.xml><?xml version="1.0" encoding="utf-8"?>
<sst xmlns="http://schemas.openxmlformats.org/spreadsheetml/2006/main" count="1035" uniqueCount="522">
  <si>
    <t>Bodega</t>
  </si>
  <si>
    <t>Código</t>
  </si>
  <si>
    <t>Ajuste +</t>
  </si>
  <si>
    <t>Ajuste -</t>
  </si>
  <si>
    <t>Ajustes Tot</t>
  </si>
  <si>
    <t xml:space="preserve">Conceptos de Ajustes Positivos o Negativos </t>
  </si>
  <si>
    <t>Conceptos de Ajustes Positivo (Sobrantes)</t>
  </si>
  <si>
    <t>Familia de Producto</t>
  </si>
  <si>
    <t>Todas</t>
  </si>
  <si>
    <t>Descripción</t>
  </si>
  <si>
    <t>Unidad</t>
  </si>
  <si>
    <t>P.M.P.</t>
  </si>
  <si>
    <t>Stock Físico</t>
  </si>
  <si>
    <t>Total Físico</t>
  </si>
  <si>
    <t>Stock Sist.</t>
  </si>
  <si>
    <t>Total Sist.</t>
  </si>
  <si>
    <t>Diferencia</t>
  </si>
  <si>
    <t>Total Dif.</t>
  </si>
  <si>
    <t xml:space="preserve">Total Cta. Contable </t>
  </si>
  <si>
    <t xml:space="preserve">Total General </t>
  </si>
  <si>
    <t>Motivo del Ajuste</t>
  </si>
  <si>
    <t>Fecha de Toma de Inventario</t>
  </si>
  <si>
    <t>TOTAL AJUSTE LOGÍSTICO AL CIERRE DE MES</t>
  </si>
  <si>
    <t>(+) Se descargó de más en el sistema por error en la digitación (indicar en qué fechas se presentó este error de digitación)</t>
  </si>
  <si>
    <t>(+) Se registró el ingreso de mercadería en el sistema en una cantidad distinta a la real por confusión de la unidad de medición (indicar cuáles fueron las unidades de medición confundidas, por ejemplo, se registró la cantidad de un ítem en paquetes cuando debió haberse registrado en unidades)</t>
  </si>
  <si>
    <t>Conceptos de Ajustes Negativo (Faltantes)</t>
  </si>
  <si>
    <t>(+) Omisión del registro en el sistema del ingreso de mercadería al almacén (indicar el o los números de GR que no fue o fueron registradas y la fecha a la que pertenecen)</t>
  </si>
  <si>
    <t>(-) Omisión del registro en el sistema de la salida de mercadería del almacén (indicar el número de documento de salida relacionado y la fecha a la que pertenece)</t>
  </si>
  <si>
    <t>(-) Se descargó de menos en el sistema por error en la digitación (indicar en qué fechas se presentó este error de digitiación)</t>
  </si>
  <si>
    <t>(-) No se descargó en el sistema la devolución al proveedor (indicar GR de salida y fecha)</t>
  </si>
  <si>
    <t>(-) No se descargó en el sistema la merma calificada o no con Acta de Calidad (indicar el Nro. de Acta de Calidad relacionado)</t>
  </si>
  <si>
    <t>(+/-) Error de conteo en el inventario anterior (especificar cuál fue el error)</t>
  </si>
  <si>
    <t>(+/-) Se descargó un producto por otro (indicar cuáles fueron los productos involucrados)</t>
  </si>
  <si>
    <t>(-) Se registró la salida de mercadería en el sistema en una cantidad distinta a la real por confusión de la unidad de medición (indicar cuáles fueron las unidades de medición confundidas, por ejemplo, se registró la cantidad de un ítem en paquetes cuando debió haberse registrado en unidades)</t>
  </si>
  <si>
    <t>(-) Pérdida o robo de mercadería (especificar situación y responsables)</t>
  </si>
  <si>
    <t>JUSTIFICACIONES DE DIFERENCIA DE INVENTARIOS</t>
  </si>
  <si>
    <t>*Pueden presentarse otras justificaciones, las cuales deben ser adecuadamente detalladas.</t>
  </si>
  <si>
    <t>Firma del Responsable de Almacén</t>
  </si>
  <si>
    <t>Firma del Responsable de la Operación en Campo</t>
  </si>
  <si>
    <t>Firma del Gerente de Operaciones</t>
  </si>
  <si>
    <t>Nombre:</t>
  </si>
  <si>
    <t>DNI:</t>
  </si>
  <si>
    <t>TOTAL AJUSTE LOGÍSTICO JUSTIFICADO</t>
  </si>
  <si>
    <t>Director de Segmento</t>
  </si>
  <si>
    <t>Director de Finanzas</t>
  </si>
  <si>
    <t>CFO LatAm</t>
  </si>
  <si>
    <t>REPORTE DE EXPLICACIÓN DE AJUSTES</t>
  </si>
  <si>
    <t>BOT</t>
  </si>
  <si>
    <t>GLN</t>
  </si>
  <si>
    <t>BID</t>
  </si>
  <si>
    <t>ACEITUNA NEGRA RODAJA</t>
  </si>
  <si>
    <t>KG</t>
  </si>
  <si>
    <t>AGUA SAN LUIS SIN GAS 750 ML</t>
  </si>
  <si>
    <t>AJI AMARILLO X KG</t>
  </si>
  <si>
    <t>BOL</t>
  </si>
  <si>
    <t>APIO</t>
  </si>
  <si>
    <t>SCO</t>
  </si>
  <si>
    <t>ARVEJA GRANO PELADA CONGELADO</t>
  </si>
  <si>
    <t>UND</t>
  </si>
  <si>
    <t>LAT</t>
  </si>
  <si>
    <t>AZUCAR IMPALPABLE NEGUSA 1 KG</t>
  </si>
  <si>
    <t>AZUCAR RUBIA SACO 50 KG</t>
  </si>
  <si>
    <t>BARRA DE QUINUA GRANOLIN 25 GR</t>
  </si>
  <si>
    <t>BETERRAGA FRESCA</t>
  </si>
  <si>
    <t>BOLSA BLANCA T-SHIRT CHICA PARAISO 16 X 19 X 2 (PQT 1000 UND)</t>
  </si>
  <si>
    <t>PQT</t>
  </si>
  <si>
    <t>BOLSA TRANSPARENTE ROLLOMATIC 5 X 10</t>
  </si>
  <si>
    <t>RLL</t>
  </si>
  <si>
    <t>BONITO FILETE CON PIEL CONGELADO - KGM</t>
  </si>
  <si>
    <t>CALDO CONCENTRADO CARNE MACRO FOOD 1 KG</t>
  </si>
  <si>
    <t>CALDO CONCENTRADO GALLINA MACRO FOOD 1 KG</t>
  </si>
  <si>
    <t>CAMOTE AMARILLO</t>
  </si>
  <si>
    <t>CARNE MOLIDA  CONGELADA</t>
  </si>
  <si>
    <t>CEBOLLA ROJA</t>
  </si>
  <si>
    <t>BAR</t>
  </si>
  <si>
    <t>FCO</t>
  </si>
  <si>
    <t>CHANFAINITA CONGELADO</t>
  </si>
  <si>
    <t>CHOCLO DESGRANADO CONGELADO</t>
  </si>
  <si>
    <t>CLAVO DE OLOR ENTERO 4 ESTACIONES 1 KG</t>
  </si>
  <si>
    <t>COCKTAIL DE FRUTAS FANNY 820 GR</t>
  </si>
  <si>
    <t>COCO RALLADO 4 ESTACIONES 1 KG</t>
  </si>
  <si>
    <t>COL</t>
  </si>
  <si>
    <t>COLAPIZ EN POLVO 4 ESTACIONES 1 KG</t>
  </si>
  <si>
    <t>COLIFLOR PRE COCIDO CONGELADO</t>
  </si>
  <si>
    <t>COLORANTE FRATELLO LIQUIDO VERDE HOJA 250 ML</t>
  </si>
  <si>
    <t>CORAZON DE RES CONGELADO</t>
  </si>
  <si>
    <t>CREMA TIPO CHANTILLY SNEL 1LT</t>
  </si>
  <si>
    <t>CAJ</t>
  </si>
  <si>
    <t>CULANTRO</t>
  </si>
  <si>
    <t>SCH</t>
  </si>
  <si>
    <t>ESCENCIA DE VAINILLA UMSHA 1 LT PET</t>
  </si>
  <si>
    <t>ESPINACA FRESCA</t>
  </si>
  <si>
    <t>FIDEO CABELLO DE ANGEL MOLITALIA 250 GR</t>
  </si>
  <si>
    <t>FIDEO CANUTO GRANDE DEL CIELO 250 GR</t>
  </si>
  <si>
    <t>FRANELA BALLERINA VIRUTEX</t>
  </si>
  <si>
    <t>GRANADILLA</t>
  </si>
  <si>
    <t>GUANTES DE POLIETILENO DESC R&amp;G CAJA X 100 UNIDADES T L</t>
  </si>
  <si>
    <t>GUANTES DE POLIETILENO DESC R&amp;G CAJA X 100 UNIDADES T M</t>
  </si>
  <si>
    <t>GUINDONES SIN PEPA TOÑA 250 GR</t>
  </si>
  <si>
    <t>HARINA DE CHOCHOCA KUMARA 5 KG</t>
  </si>
  <si>
    <t>HARINA DE MACA SAN JUAN MASIAS (EX BELEN) 5 KG</t>
  </si>
  <si>
    <t>HARINA DE SOYA SAN JUAN MASIAS 5 KG</t>
  </si>
  <si>
    <t>HARINA ESPECIAL DEL CIELO GRANEL SACO 50 KG</t>
  </si>
  <si>
    <t>HIERBA BUENA</t>
  </si>
  <si>
    <t>HOT DOG CONGELADO KG</t>
  </si>
  <si>
    <t>HUEVO LIQUIDO CONGELADO 2 KG</t>
  </si>
  <si>
    <t>INFUSION ANIS 4 ESTACIONES 50 GRM</t>
  </si>
  <si>
    <t>INFUSION ANIS DEL VALLE 100 SOBRES</t>
  </si>
  <si>
    <t>INFUSION HIERBA LUISA 4 ESTACIONES 50 GRM</t>
  </si>
  <si>
    <t>INFUSION HIERBA LUISA DEL VALLE 100 SOBRES</t>
  </si>
  <si>
    <t>INFUSION MANZANILLA DEL VALLE 100 SOBRES</t>
  </si>
  <si>
    <t>JAMON PARA CAFETIN CONGELADO KG</t>
  </si>
  <si>
    <t>KETCHUP B&amp;D 4 LT</t>
  </si>
  <si>
    <t>BLD</t>
  </si>
  <si>
    <t>LECHE CONDENSADA GLORIA 393 GR</t>
  </si>
  <si>
    <t>LECHE EVAPORADA (CONCENTRADA) LAIVE BOLSITARRO 800 ML</t>
  </si>
  <si>
    <t>LECHUGA AMERICANA</t>
  </si>
  <si>
    <t>LIMON VERDE EXTRA</t>
  </si>
  <si>
    <t>MAIZ CANCHA CANTA CLARO 5 KG</t>
  </si>
  <si>
    <t>MANDARINA</t>
  </si>
  <si>
    <t>MANTEQUILLA LAIVE PERSONAL 8 GR</t>
  </si>
  <si>
    <t>MANZANA VERDE PARA JUGO</t>
  </si>
  <si>
    <t>MASCARILLA 3 PLIEGUES FACE MASK CJ X 50 UND</t>
  </si>
  <si>
    <t>MAYONESA SCALA EMIC 3.8 KG</t>
  </si>
  <si>
    <t>MAYONESA TRESA PERSONAL 10 GR</t>
  </si>
  <si>
    <t>MEMBRILLO</t>
  </si>
  <si>
    <t>MERMELADA FRESA TRES ESPADAS 14 GR</t>
  </si>
  <si>
    <t>BLI</t>
  </si>
  <si>
    <t>MONDADIENTES PQT X 2500 UND</t>
  </si>
  <si>
    <t>MONDONGO CONGELADO</t>
  </si>
  <si>
    <t>MOSTAZA B&amp;D 4 KG</t>
  </si>
  <si>
    <t>NARANJA PARA JUGO</t>
  </si>
  <si>
    <t>PALILLO MOLIDO 4 ESTACIONES 1 KG</t>
  </si>
  <si>
    <t>PALITOS DE BROCHETA 20 CM  100 UND</t>
  </si>
  <si>
    <t>PALO MOPERO RUBBERMAID H125</t>
  </si>
  <si>
    <t>PALTA</t>
  </si>
  <si>
    <t>PANELA GRANULADA ONZA 1 KG</t>
  </si>
  <si>
    <t>PAPA BLANCA</t>
  </si>
  <si>
    <t>PAPA PRE FRITA CONGELADA</t>
  </si>
  <si>
    <t>PAPAYA</t>
  </si>
  <si>
    <t>PAPEL HIGIENICO DOBLE HOJA SUAVE RESISTEMAX 15 MT (30242657)</t>
  </si>
  <si>
    <t>PAPEL HIGIENICO JUMBO BLANCO SCOTT 550 MT (30228044)</t>
  </si>
  <si>
    <t>PASTA DE AJI AMARILLO EMIC 1 KG</t>
  </si>
  <si>
    <t>PASTA DE AJI PANCA EMIC 1 KG</t>
  </si>
  <si>
    <t>PASTA WANTAN CONGELADA</t>
  </si>
  <si>
    <t>PASTILLAS DESCALCIFICADORAS RATIONAL MODELO NO. 56.00.562</t>
  </si>
  <si>
    <t>PEPINILLO</t>
  </si>
  <si>
    <t>PEREJIL</t>
  </si>
  <si>
    <t>PIERNA DE CERDO SIN PIEL Y SIN HUESO CONGELADO</t>
  </si>
  <si>
    <t>PIMIENTO ROJO</t>
  </si>
  <si>
    <t>PIÑA</t>
  </si>
  <si>
    <t>PLATO TENDIDO PARA SEGUNDO DESCARTABLE # 20  MILLAR</t>
  </si>
  <si>
    <t>PRE ELABORADO EMIC BASE CRIOLLA 1 KG</t>
  </si>
  <si>
    <t>PRE ELABORADO NATURALE CONCENTRADO CHICHA MORADA 2 LT</t>
  </si>
  <si>
    <t>PRE ELABORADO NATURALE CONCENTRADO EMOLIENTE 2 LT</t>
  </si>
  <si>
    <t>PRE ELABORADO NATURALE CONCENTRADO MANZANA 2 LT</t>
  </si>
  <si>
    <t>PULPA DE ARANDANO CONGELADO</t>
  </si>
  <si>
    <t>PULPA DE FRESA  CONGELADO</t>
  </si>
  <si>
    <t>PULPA DE PAPAYA CONGELADO</t>
  </si>
  <si>
    <t>PURE DE PAPAS KNORR 2 KG</t>
  </si>
  <si>
    <t>QUESO EDAM EN TAJADAS X 500 GR CONGELADO</t>
  </si>
  <si>
    <t>QUESO FRESCO LAIVE MOLDE REFRIGERADO KG</t>
  </si>
  <si>
    <t>QUINUA CANTA CLARO 5 KG</t>
  </si>
  <si>
    <t>SAL PERSONAL SODEXO (0.5GR) 1 MILLAR</t>
  </si>
  <si>
    <t>SALCHICHA HUACHO CONGELADO KG</t>
  </si>
  <si>
    <t>SANDIA</t>
  </si>
  <si>
    <t>SERVILLETA POP UP AIRFLEX SCOTT  120 UND ( 30209601 )</t>
  </si>
  <si>
    <t>TOCINO AHUMADO CONGELADO KG</t>
  </si>
  <si>
    <t>TOMATE</t>
  </si>
  <si>
    <t>TRIGO PELADO CANTA CLARO 5 KG</t>
  </si>
  <si>
    <t>TRUCHA ENTERA EVISCERADA CONGELADA 100 - 400 GR</t>
  </si>
  <si>
    <t>VINAGRE BLANCO TRESA 3.8 LT</t>
  </si>
  <si>
    <t>VINAGRE TINTO TRESA 3.8 LT</t>
  </si>
  <si>
    <t>YOGURT DE VAINILLA FRANCESA   GLORIA 500 ML</t>
  </si>
  <si>
    <t>YUCA  CONGELADA</t>
  </si>
  <si>
    <t>ZANAHORIA</t>
  </si>
  <si>
    <t>ZAPALLITO ITALIANO</t>
  </si>
  <si>
    <t>ZAPALLO MACRE</t>
  </si>
  <si>
    <t>ZUMO DE LIMON CONGELADO</t>
  </si>
  <si>
    <t xml:space="preserve">PB ORCOPAMPA - Foali 1                                 </t>
  </si>
  <si>
    <t>CHUÑO ENTERO BLANCO 4 ESTACIONES 1 KG</t>
  </si>
  <si>
    <t>HABAS VERDES PELADAS  CONGELADA</t>
  </si>
  <si>
    <t>MOSTAZA TRESA PERSONAL 10 GR</t>
  </si>
  <si>
    <t>ALAS DE POLLO CONGELADO</t>
  </si>
  <si>
    <t>BOLSA PARA BASURA PLASTICA MARRON C/F 140 LT 1.4 MC 41´´X 35´´ 100 UND</t>
  </si>
  <si>
    <t>FIDEO CARACOL DEL CIELO 250 GR</t>
  </si>
  <si>
    <t>PAPEL TOALLA AIRFLEX BLANCO BASIC SCOTT 200 MT (30242645 - 30228197)</t>
  </si>
  <si>
    <t>GALLETA INTEGRALES INTEGRAKERS SALVADO DE TRIGO 30 GR</t>
  </si>
  <si>
    <t>PREMEZCLA INVENTIS CHIFFON 5 KG</t>
  </si>
  <si>
    <t>0MELA39909</t>
  </si>
  <si>
    <t>WHITE CLEAN PLUS FP SPARTAN 5 LITROS</t>
  </si>
  <si>
    <t>INFUSION MANZANILLA 4 ESTACIONES 50 GRM</t>
  </si>
  <si>
    <t>PECANA PELADA VALLEALTO X  90 GR</t>
  </si>
  <si>
    <t>TUNAS</t>
  </si>
  <si>
    <t xml:space="preserve"> </t>
  </si>
  <si>
    <t>ATUN TROZOS COMPASS 140 GR</t>
  </si>
  <si>
    <t>KETCHUP TRESA PERSONAL 10 GR</t>
  </si>
  <si>
    <t>COCOA LA ABUELITA WINTERS 150 GR</t>
  </si>
  <si>
    <t>CUCHARA ACRILICO DESCARTABLE 100 UND</t>
  </si>
  <si>
    <t>FLAN DE VAINILLA UNIVERSAL 150 GR</t>
  </si>
  <si>
    <t>GALLETA DE AGUA COSTA LIGHT (LINE) 42 GR</t>
  </si>
  <si>
    <t>GASEOSA PERSONAL INCA KOLA 500 ML</t>
  </si>
  <si>
    <t>HUACATAY</t>
  </si>
  <si>
    <t>INFUSION TE PURO DEL VALLE 100 SOBRES</t>
  </si>
  <si>
    <t>INFUSION UÑA DE GATO DEL VALLE 100 SOBRES</t>
  </si>
  <si>
    <t>LENTEJA CRIMSON CANTA CLARO 5 KG</t>
  </si>
  <si>
    <t>LEVADURA INSTANTANEA SAF INSTANT DORADA 500 GR</t>
  </si>
  <si>
    <t>MACA AVENA 3 OSITOS 150 GR</t>
  </si>
  <si>
    <t>PERA PACKHAMS IMPORTADA</t>
  </si>
  <si>
    <t>PLATANO DE SEDA</t>
  </si>
  <si>
    <t>PRE ELABORADO EMIC BASE NEUTRAL 1 KG</t>
  </si>
  <si>
    <t>TRIGO MOTE CANTA CLARO 5 KG</t>
  </si>
  <si>
    <t>P</t>
  </si>
  <si>
    <t>ARROZ COSTEÑO EXTRA HOJA REDONDA AÑEJO 50 KG</t>
  </si>
  <si>
    <t>0MELA41348</t>
  </si>
  <si>
    <t>BOLSA DE PAPEL KRAFT 50GR #4 (12.5X24.2X7.5) 500 UND</t>
  </si>
  <si>
    <t>0MELA41355</t>
  </si>
  <si>
    <t>BOLSA PARA CUBIERTO FLAT KRAFT 50GR 28X8CM C/LOGO MILLAR</t>
  </si>
  <si>
    <t>CHUÑO NEGRO MOLIDO SAN JUAN MASIAS (EX BELEN) 5 KG</t>
  </si>
  <si>
    <t>COCKTAIL DE NUECES VALLEALTO X  90 GR</t>
  </si>
  <si>
    <t>0MELA41365</t>
  </si>
  <si>
    <t>CUCHARA PARA CAFE BLANCA DE PLASTICO DESCARTABLE GOLAZO 100 UNID</t>
  </si>
  <si>
    <t>0MELA41366</t>
  </si>
  <si>
    <t>CUCHARA PARA SOPA BLANCA DE PLASTICO DESCARTABLE LA EUROPEA 50 UND</t>
  </si>
  <si>
    <t>0MELA41375</t>
  </si>
  <si>
    <t>ENVASE DESCARTABLE RECTANGULAR TRANSPARENTE PP SIN TAPA 0.5 LT ALFA X 200 UND</t>
  </si>
  <si>
    <t>0MELA41376</t>
  </si>
  <si>
    <t>ENVASE DESCARTABLE RECTANGULAR TRANSPARENTE PP SIN TAPA 1 LT ALFA X 200 UND</t>
  </si>
  <si>
    <t>ESCENCIA DE NARANJA SOLUBLE FRATELLO 250 ML PET</t>
  </si>
  <si>
    <t>MANZANA ROJA IMPORTADA</t>
  </si>
  <si>
    <t>ROMERO TIPO PIZZA 4 ESTACIONES 250 GR</t>
  </si>
  <si>
    <t>SALSA PESTO (VERDE)  EMIC 1 KG</t>
  </si>
  <si>
    <t>0MELA41409</t>
  </si>
  <si>
    <t>TAPA PARA ENVASE DESCARTABLE CIRCULAR PP TRANSPARENTE 8 OZ X 400 UND</t>
  </si>
  <si>
    <t>0MELA41411</t>
  </si>
  <si>
    <t>TAPA PARA ENVASE DESCARTABLE RECTANGULAR TRANSPARENTE PP 0.5 LT ALFA X 200 UND</t>
  </si>
  <si>
    <t>0MELA41412</t>
  </si>
  <si>
    <t>TAPA PARA ENVASE DESCARTABLE RECTANGULAR TRANSPARENTE PP 1 LT ALFA X 200 UND</t>
  </si>
  <si>
    <t>VAINITA EN TROZOS CONGELADA</t>
  </si>
  <si>
    <t>0MELA41431</t>
  </si>
  <si>
    <t>VASO POLIPAPEL DISEÑO BEBIDAS CALIENTES 8 OZ MILLAR</t>
  </si>
  <si>
    <t>0MELA39931</t>
  </si>
  <si>
    <t>ALCOHOL GEL SPARTAN 4 LITROS COSMETICO NEUTRO</t>
  </si>
  <si>
    <t>LT</t>
  </si>
  <si>
    <t>BICARBONATO DE SODIO ELYMAR 250 GR</t>
  </si>
  <si>
    <t>BOLSA PARA BASURA PLASTICA AZUL C/F 140 LT 1.4 MC 41´´X 35´´ 100 UND</t>
  </si>
  <si>
    <t>BOLSA PARA BASURA PLASTICA NEGRA C/F 140 LT 1.4 MC 41´´X 35´´ 100 UND</t>
  </si>
  <si>
    <t>0MELA41841</t>
  </si>
  <si>
    <t>BOLSA PARA CUBIERTO 4X10 (8.5CM X 24.10CM) ALFA X 100 UND</t>
  </si>
  <si>
    <t>CANELA ENTERA 4 ESTACIONES 1 KG</t>
  </si>
  <si>
    <t>CEREAL BAR CHIP COSTA 18/21 GR</t>
  </si>
  <si>
    <t>CHOCOLATE PARA TAZA CANELA Y CLAVO WINTERS 80 GR</t>
  </si>
  <si>
    <t>CHUÑO POLVO TOÑA 1 KG</t>
  </si>
  <si>
    <t>CLORIN 7.5 - ( 5 LITROS) SPARTAN</t>
  </si>
  <si>
    <t>DURAZNO EN ALMIBAR VALLE NORTE 820 GR</t>
  </si>
  <si>
    <t>0MELA41370</t>
  </si>
  <si>
    <t>ENVASE DESCARTABLE CIRCULAR PP TRANSPARENTE SIN TAPA  0.5 LT ALFA X 200 UND</t>
  </si>
  <si>
    <t>0MELA41372</t>
  </si>
  <si>
    <t>ENVASE DESCARTABLE CIRCULAR PP TRANSPARENTE SIN TAPA 8 OZ X 400 UND</t>
  </si>
  <si>
    <t>HIGADO DE RES CONGELADO</t>
  </si>
  <si>
    <t>JAMONADA DE POLLO CONGELADO KG</t>
  </si>
  <si>
    <t>MEJORADOR DE MASA MAGIMIX AMARILLO LESAFRE 5 KG</t>
  </si>
  <si>
    <t>PALLAR COSECHA ANDINA 5 KG</t>
  </si>
  <si>
    <t>PAPA RELLENA CON CARNE 100 GR CONGELADO</t>
  </si>
  <si>
    <t>PAPEL MANTECA RESMA  PAQ 450 HOJAS</t>
  </si>
  <si>
    <t>PASTILLAS DE LAVADO RATIONAL MODELO NO. 56.00.210</t>
  </si>
  <si>
    <t>PRE ELABORADO EMIC BASE NORTEÑA 1 KG</t>
  </si>
  <si>
    <t>PRE ELABORADO EMIC BASE ORIENTAL 1 KG</t>
  </si>
  <si>
    <t>PREMEZCLA INVENTIS TORTA DE CHOCOLATE INTENSO  10 KG</t>
  </si>
  <si>
    <t>0MELA41408</t>
  </si>
  <si>
    <t>TAPA PARA ENVASE DESCARTABLE CIRCULAR PP TRANSPARENTE  0.5-1 LT ALFA X 200 UND</t>
  </si>
  <si>
    <t>TOMILLO TIPO PIZZA 4 ESTACIONES 250 GR</t>
  </si>
  <si>
    <t>ACEITE AJONJOLI OLIVOS DEL SUR 220 ML PET</t>
  </si>
  <si>
    <t>BLOQUEADOR SOLAR SACHET VISAGE DERMOSOL F-100  10GR</t>
  </si>
  <si>
    <t>BOLSA PARA BASURA PLASTICA BLANCA C/F 140 LT 1.4 MC 41´´X 35´´ 100 UND</t>
  </si>
  <si>
    <t>CANCHA SALADA PIKADITOS 100 GR</t>
  </si>
  <si>
    <t>CARAMELO AMBROSOLI GAJOS DE LIMON 100 UND</t>
  </si>
  <si>
    <t>CARAMELO CON LOGO SODEXO 100 UNID</t>
  </si>
  <si>
    <t>CEBOLLA CHINA</t>
  </si>
  <si>
    <t>CHORIZO PARRILLERO SEGOVIANA CONGELADO KG</t>
  </si>
  <si>
    <t>CORDERO DESHUESADO CONGELADO - KGM</t>
  </si>
  <si>
    <t>EDULCORANTE PERSONAL SODEXO 1 GR X MILLAR</t>
  </si>
  <si>
    <t>0MELA41380</t>
  </si>
  <si>
    <t>ENVASE SALAD BOWL DE BAMBU 1000 ML SIN TAPA X 600 UND</t>
  </si>
  <si>
    <t>FIDEO SPAGUETTI MOLITALIA 950 GR</t>
  </si>
  <si>
    <t>FRUTA CONFITADA 4 ESTACIONES 1 KG</t>
  </si>
  <si>
    <t>HIGO SECO PREMIUM 4 ESTACIONES 1 KG</t>
  </si>
  <si>
    <t>MAIZ MOTE MOLINOS DEL SOL 5 KG</t>
  </si>
  <si>
    <t>MANTECA VEGETAL DE PALMA 10 KG</t>
  </si>
  <si>
    <t>MASCARILLA KN95 GP CAJA X 10 UND</t>
  </si>
  <si>
    <t>PASAS SECAS NEGRAS GARDEN 4 ESTACIONES 1 KG</t>
  </si>
  <si>
    <t>PERICO FILETE SIN PIEL CONGELADO- KGM</t>
  </si>
  <si>
    <t>POT &amp; PAN - GARRAFA 5 LITROS -SPARTAN</t>
  </si>
  <si>
    <t>RES - SOPAS S/HUESO (DON GOYO)</t>
  </si>
  <si>
    <t>SAL LOPESA 1 KG</t>
  </si>
  <si>
    <t>SALSA AJI PARRILLERO EMIC 1 KG</t>
  </si>
  <si>
    <t>0MELA41417</t>
  </si>
  <si>
    <t>TAPA PET PARA ENVASE SALAD BOWL DE BAMBU 1000 ML X 600 UND</t>
  </si>
  <si>
    <t>UVA NEGRA</t>
  </si>
  <si>
    <t>ZAPALLO MACRE EN CUBO LIBER 1.5 X 1.5 CM CONGELADO</t>
  </si>
  <si>
    <t>ALBAHACA</t>
  </si>
  <si>
    <t>ALCA DETER X 4L [B2-4L]</t>
  </si>
  <si>
    <t>ALMENDRAS 4 ESTACIONES 1 KG</t>
  </si>
  <si>
    <t>ALPACA ENTERA TROZADA CONGELADA (LA GRANJA)</t>
  </si>
  <si>
    <t>AVENA 3 OSITOS 10 KG</t>
  </si>
  <si>
    <t>BOLSA PARA BASURA PLASTICA AMARILLO C/F 140 LT 1.4 MC 41´´X 35´´ 100 UND</t>
  </si>
  <si>
    <t>BOLSA PLASTICA RESELLABLE 50 UNID.</t>
  </si>
  <si>
    <t>BOTELLA DESCARTABLE PET HOT FILLING (80°) CON TAPA DE 500 ML X 100 UND</t>
  </si>
  <si>
    <t>BROCOLI PRE COCIDO 20/40 CONGELADO</t>
  </si>
  <si>
    <t>CAFE INSTANTANEO KIRMA NESTLE 180 GR</t>
  </si>
  <si>
    <t>CAFE MOLIDO STANDAR RISSO GRANEL KG</t>
  </si>
  <si>
    <t>CEREZA MARRASQUINO ROJO SANTIS 283 GR</t>
  </si>
  <si>
    <t>CHAMPIGÑONES WOKI 425 GR</t>
  </si>
  <si>
    <t>CHICHARRON DE PRENSA CONGELADO KG</t>
  </si>
  <si>
    <t>CREMA DE CHAMPIÑONES MACROFOODS 1 KG</t>
  </si>
  <si>
    <t>CUY ENTERO CONGELADO</t>
  </si>
  <si>
    <t>ESPONJA NARANJA 746 P/GRIDDLE CLEANER S/B  / 70071593647 3M</t>
  </si>
  <si>
    <t>EUCALIPTO (HOJAS) 4 ESTACIONES 250 GRM</t>
  </si>
  <si>
    <t>0MELA39910</t>
  </si>
  <si>
    <t>FOAMING ACID CLEANER FP SPARTAN 5 LITROS</t>
  </si>
  <si>
    <t>GELATINA SABOR FRESA MACROFOOD 1KG</t>
  </si>
  <si>
    <t>GELATINA SABOR NARANJA MACROFOOD 1KG</t>
  </si>
  <si>
    <t>GELATINA SABOR PIÑA MACROFOOD 1KG</t>
  </si>
  <si>
    <t>0MELA42739</t>
  </si>
  <si>
    <t>GUANTE DE NITRILO AZUL 4GR ISUD TALLA L X100UND</t>
  </si>
  <si>
    <t>0MELA42740</t>
  </si>
  <si>
    <t>GUANTE DE NITRILO AZUL 4GR ISUD TALLA M X100UND</t>
  </si>
  <si>
    <t>HARINA DE HABAS 5 KG</t>
  </si>
  <si>
    <t>HELADO YAMBITO CREMA CHOCOLATE YAMBOLY 54 ML (40 GR)</t>
  </si>
  <si>
    <t>0MELA39928</t>
  </si>
  <si>
    <t>JABÓN  ANTIBACTERIAL P/MANOS SPARTAN 4 LITROS NEUTRO</t>
  </si>
  <si>
    <t>JUGO DE DURAZNO FRUGOS 235 ML</t>
  </si>
  <si>
    <t>MANITAS DE CERDO (IMPORTACION)</t>
  </si>
  <si>
    <t>MIXTURA DE MARISCOS ECONOMICA</t>
  </si>
  <si>
    <t>PASTA DE AJO EMIC  1 KG</t>
  </si>
  <si>
    <t>POLLO SIN MENUDENCIA CONGELADO RANGO 1.68 KG</t>
  </si>
  <si>
    <t>0MELA41399</t>
  </si>
  <si>
    <t>PORTA VASOS CARTON CON LOGO PARA 2 UND X MILLAR (TIPO BANDEJA)</t>
  </si>
  <si>
    <t>ROCOTO</t>
  </si>
  <si>
    <t>SALSA OSTION  HADAY X 260 ML - UNIDAD</t>
  </si>
  <si>
    <t>SALSA SILLAO LOPESA 5 LT</t>
  </si>
  <si>
    <t>STRECH FILM NO ALIMENTARIO PARA EMBALAJE TRANSPARENTE ROLLO 20" 1.5 KG</t>
  </si>
  <si>
    <t>TEQUEÑOS DE LOMITO 20 GR CONGELADO</t>
  </si>
  <si>
    <t>0MELA42737</t>
  </si>
  <si>
    <t>TOCA TIPO MEDIA CAMPANA 12 GR ISUD X100UND</t>
  </si>
  <si>
    <t>0MELA41430</t>
  </si>
  <si>
    <t>VASO POLIPAPEL BLANCO 8 OZ MILLAR</t>
  </si>
  <si>
    <t>ACEITE VEGETAL CIELO 5 LT</t>
  </si>
  <si>
    <t>AJI DE POLLERIA (CRIOLLO) EMIC 1 KG</t>
  </si>
  <si>
    <t>CAFE INSTANTANEO NESCAFE TRADICION STICK 2 GR</t>
  </si>
  <si>
    <t>CHULETA DE CERDO TROZADO 120 GR CONGELADO</t>
  </si>
  <si>
    <t>CHULETA DE CERDO TROZADO 150 GR CONGELADO</t>
  </si>
  <si>
    <t>CHUPETE CHUPETIN COLORADO (TUTTI FRUTI) AMBROSOLI (24 UNID)</t>
  </si>
  <si>
    <t>CHURRO RELLENO MANJAR BLANCO 12 CM CONGELADO</t>
  </si>
  <si>
    <t>COBERTURA BITTER OBLEAS NEGUSA 1 KG</t>
  </si>
  <si>
    <t>0MELA41373</t>
  </si>
  <si>
    <t>ENVASE DESCARTABLE CIRCULAR PS BLANCO SIN TAPA 0.5 LT ALFA X 200 UND</t>
  </si>
  <si>
    <t>FIDEO TORNILLO MOLITALIA 250GR</t>
  </si>
  <si>
    <t>GALLINA ENTERA SIN MENUDENCIA CONGELADO - IMPORTADO</t>
  </si>
  <si>
    <t>GASEOSA PERSONAL COCA COLA 500 ML</t>
  </si>
  <si>
    <t>GELATINA SABOR LIMON MACROFOOD 1KG</t>
  </si>
  <si>
    <t>HELADO SANDWICH CREMA VAINILLA LUCUMA YAMBOLY 67 ML (40 GR)</t>
  </si>
  <si>
    <t>JABON ANTIBACTERIAL PROTEX 75 GR-LIMPIEZA PROFUNDA</t>
  </si>
  <si>
    <t>JABON DOVE ORIGINAL 90 GR</t>
  </si>
  <si>
    <t>JUGO DE MANGO FRUGOS 235 ML</t>
  </si>
  <si>
    <t>LAUREL 4 ESTACIONES 1 KG</t>
  </si>
  <si>
    <t>MANJAR BLANQUITO BAZO VELARDE LAIVE 900 GR</t>
  </si>
  <si>
    <t>MIX DE SOPA COMPLETO CONGELADO - KGM</t>
  </si>
  <si>
    <t>PALITOS DE BROCHETA 24 CM MILLAR</t>
  </si>
  <si>
    <t>PECHUGA DE POLLO S/HUESO S/PIEL CONGELADO - IMPORTACION</t>
  </si>
  <si>
    <t>PRE ELABORADO NATURALE CONCENTRADO CARAMBOLA 2 LT</t>
  </si>
  <si>
    <t>PRE ELABORADO NATURALE CONCENTRADO MARACUYA 2 LT</t>
  </si>
  <si>
    <t>PRE ELABORADO RAM (CONSERVA) FRIJOL CANARIO SIN ADEREZO 1 KG</t>
  </si>
  <si>
    <t>PUDIN DE CHOCOLATE UNIVERSAL  100 GR</t>
  </si>
  <si>
    <t>QUESO MOZARELLA MILKUNZ REFRIGERADO</t>
  </si>
  <si>
    <t>RES - MALAYA (DON GOYO)</t>
  </si>
  <si>
    <t>SANIT 10 GARRAFA- 5 LITROS SPARTAN</t>
  </si>
  <si>
    <t>0MELA42738</t>
  </si>
  <si>
    <t>TOCA SOFT BLANCA ISUD 12 GR DOS LIGAS X100UND</t>
  </si>
  <si>
    <t>ARVEJA VERDE PARTIDA CANTA CLARO BOLSA 500 GR</t>
  </si>
  <si>
    <t>BOLSA POLIETILENO CRISTAL 90X135CM 30ÌM X 100 UND</t>
  </si>
  <si>
    <t>CHIFLES SALADO KARINTO 28 GR</t>
  </si>
  <si>
    <t>CHOCLO BLANCO</t>
  </si>
  <si>
    <t>CUCHILLO ACRILICO DESCARTABLE 50 UND</t>
  </si>
  <si>
    <t>EMPANADA DE CARNE 100 GR MENU</t>
  </si>
  <si>
    <t>ESPINACA CONGELADA</t>
  </si>
  <si>
    <t>GASEOSA COCA COLA 3 LT</t>
  </si>
  <si>
    <t>GASEOSA INCA KOLA 3 LT</t>
  </si>
  <si>
    <t>HONGO SECO 4 ESTACIONES 1 KG</t>
  </si>
  <si>
    <t>HUEVO ROJO (CAJA 11.5 KG)</t>
  </si>
  <si>
    <t>KION</t>
  </si>
  <si>
    <t>KION MOLIDO SECO 4 ESTACIONES 250 GR</t>
  </si>
  <si>
    <t>MERMELADA FRESA GLORIA DOYPACK 700 GR</t>
  </si>
  <si>
    <t>PAPA SECA VALLE NORTE 500 GR</t>
  </si>
  <si>
    <t>PAPEL DE ALUMINIO UTIL 12 X 300 MT</t>
  </si>
  <si>
    <t>PAPRIKA TOÑA 500 GR</t>
  </si>
  <si>
    <t>PLATANO DE FREIR (BELLACO)</t>
  </si>
  <si>
    <t>POLVO DE HORNEAR LESAFFRE INVENTIS 5 KG</t>
  </si>
  <si>
    <t>PREMEZCLA INVENTIS BIZCOCHUELO TRES LECHES 5 KG</t>
  </si>
  <si>
    <t>RES - BISTECK (DON GOYO)</t>
  </si>
  <si>
    <t>RES - GUISO CONGELADO (DON GOYO)</t>
  </si>
  <si>
    <t>0MELA41193</t>
  </si>
  <si>
    <t>STRECH FILM DE GRADO ALIMENTARIO ROLLO 18" X 1400MT X 9U</t>
  </si>
  <si>
    <t>TENEDOR ACRILICO DESCARTABLE 50  UND</t>
  </si>
  <si>
    <t>CHULETA DE CERDO TROZADO 200 GR CONGELADO</t>
  </si>
  <si>
    <t>ESPONJA TRABAJO PESADO N.88 SCOTCH BRITE</t>
  </si>
  <si>
    <t>GALLETA SALADA DE SODA FIELD RECETA ORIGINAL NABISCO 32 GR</t>
  </si>
  <si>
    <t>PIÑA EN RODAJAS FANNY 567 GR</t>
  </si>
  <si>
    <t>BOLSAS PAPEL POLIGRASA 50 X 70</t>
  </si>
  <si>
    <t>RSM</t>
  </si>
  <si>
    <t>CANELA MOLIDA 4 ESTACIONES 1 KG</t>
  </si>
  <si>
    <t>CASTAÑAS 4 ESTACIONES 1 KG</t>
  </si>
  <si>
    <t>COL CHINA</t>
  </si>
  <si>
    <t>CR2+ PRESENTACION 1 GALON</t>
  </si>
  <si>
    <t>FIDEO CHINO</t>
  </si>
  <si>
    <t>FRIJOL CHINO</t>
  </si>
  <si>
    <t>FUDGE DE CHOCOLATE BAZO VELARDE 550 GR</t>
  </si>
  <si>
    <t>GALLETA SALADA CREAM CRAKER NABISCO 73.5 GR</t>
  </si>
  <si>
    <t>JOHNSON DIVERSEY SUMA CRYSTAL 20 LT</t>
  </si>
  <si>
    <t>JOHNSON DIVERSEY SUMA NOVA 20 LT</t>
  </si>
  <si>
    <t>JUGO DE NARANJA PASTEURIZADO X 3.8 LT</t>
  </si>
  <si>
    <t>JUGO DE PIÑA PASTEURIZADO X 3.8 LT</t>
  </si>
  <si>
    <t>KION MOLIDO X KG</t>
  </si>
  <si>
    <t>MAICENA INGREDION 25 KG</t>
  </si>
  <si>
    <t>MARGARINA MULTIUSO ROMEA 2.5 KG</t>
  </si>
  <si>
    <t>NUEZ ENTERA PELADA 4 ESTACIONES 1 KG</t>
  </si>
  <si>
    <t>PAN BLANCO XL EXTRA GRANDE BIMBO 770 GR</t>
  </si>
  <si>
    <t>PAPA AMARILLA</t>
  </si>
  <si>
    <t>POLLO SIN MENUDENCIA CONGELADO 1.1 - 1.4 KG - PERDIX</t>
  </si>
  <si>
    <t>PORO</t>
  </si>
  <si>
    <t>PULPA DE MANGO CONGELADO</t>
  </si>
  <si>
    <t>RABANITO</t>
  </si>
  <si>
    <t>SALSA BLANCA EMIC 1 KG</t>
  </si>
  <si>
    <t>0MELA39880</t>
  </si>
  <si>
    <t>SANIT-OX FP SPARTAN 5 LITROS</t>
  </si>
  <si>
    <t>ANIS SECO 4 ESTACIONES 1 KG</t>
  </si>
  <si>
    <t>AZUCAR BLANCA PERSONAL SODEXO PAQ (5 GR)1 MILLAR</t>
  </si>
  <si>
    <t>BOLSA PARA BASURA PLASTICA ROJA C/F 140 LT 1.4 MC 41´´X 35´´ 100 UND</t>
  </si>
  <si>
    <t>CAFE MOLIDO NESCAFE TRADICION NESTLE 500 GR</t>
  </si>
  <si>
    <t>CAJA CHICA - CACAO Y LUCUMA NIBS</t>
  </si>
  <si>
    <t>CALABAZA</t>
  </si>
  <si>
    <t>CHOCOLATE NEGRO SUBLIME 26 GR</t>
  </si>
  <si>
    <t>COCKTAIL DE FRUTAS ACONCAGUA 820/822 GR</t>
  </si>
  <si>
    <t>COMINO MOLIDO 4 ESTACIONES 1 KG</t>
  </si>
  <si>
    <t>EMPANADA DE AJI DE POLLO 100 GR MENU</t>
  </si>
  <si>
    <t>0MELA41371</t>
  </si>
  <si>
    <t>ENVASE DESCARTABLE CIRCULAR PP TRANSPARENTE SIN TAPA 1  LT ALFA X 200 UND</t>
  </si>
  <si>
    <t>ESPONJA CERO RAYAS INSTITUCIONAL BLANCO 3M SCOTH BRITE UND</t>
  </si>
  <si>
    <t>FLAN DE CHOCOLATE CEYLAN 5 KG</t>
  </si>
  <si>
    <t>FRIJOL CANARIO CANTA CLARO 5 KG</t>
  </si>
  <si>
    <t>GALLETA CHOCOCHIPS CHIPS AHOY 37 GR</t>
  </si>
  <si>
    <t>GALLETA CLASICA OREO 36 GR</t>
  </si>
  <si>
    <t>GALLETA DULCE CHOCOLATE CHOMP 42/38 GR</t>
  </si>
  <si>
    <t>GALLETA DULCE CHOCOLATE TENTACION 45/43 GR</t>
  </si>
  <si>
    <t>GALLETA DULCE VAINILLA NABISCO (FIELD) 37 GR</t>
  </si>
  <si>
    <t>GALLETA RELLENA FRESA CASINO 51/43 GR</t>
  </si>
  <si>
    <t>GALLETA RELLENA LUCUMA CASINO 51/43 GR</t>
  </si>
  <si>
    <t>GRAJEA DE PANADERIA TOÑA 1 KG</t>
  </si>
  <si>
    <t>HARINA DE KIWICHA 5 KG</t>
  </si>
  <si>
    <t>HARINA DE MAIZ INGREDION 25 KG</t>
  </si>
  <si>
    <t>INFUSION TE BOLDO DEL VALLE 100 SOBRES</t>
  </si>
  <si>
    <t>INFUSION TE CANELA Y CLAVO DEL VALLE 100 SOBRES</t>
  </si>
  <si>
    <t>LECHE EN BRICK LIGHT GLORIA 946 ML</t>
  </si>
  <si>
    <t>LOMO FINO SIN CORDON CONGELADO BRASILERO</t>
  </si>
  <si>
    <t>MANI TOSTADO PELADO TOÑA 1 KG</t>
  </si>
  <si>
    <t>MANTEQUILLA GLORIA PERSONAL 10 GR</t>
  </si>
  <si>
    <t>MORON AMERICANO CANTA CLARO 5 KG</t>
  </si>
  <si>
    <t>OLLUQUITO FRESCO</t>
  </si>
  <si>
    <t>PANCETA CON HUESO Y SIN PIEL TIRAS CONGELADO</t>
  </si>
  <si>
    <t>PAPA COCKTAIL</t>
  </si>
  <si>
    <t>PASTA DE ROCOTO EMIC 1 KG</t>
  </si>
  <si>
    <t>PATO ENTERO SIN EXTREMIDADES CONGELADO</t>
  </si>
  <si>
    <t>PIERNA DE POLLO CON ENCUENTRO CONGELADO (BLOQUE) IMPORT</t>
  </si>
  <si>
    <t>PILAS DURACELL AA 2 UND</t>
  </si>
  <si>
    <t>PILAS DURACELL AAA 2 UND</t>
  </si>
  <si>
    <t>PRE ELABORADO RAM (CONSERVA) LENTEJA SIN ADEREZO 1 KG</t>
  </si>
  <si>
    <t>PRE ELABORADO RAM (CONSERVA)GARBANZO SIN ADEREZO 1 KG</t>
  </si>
  <si>
    <t>SALSA DE AJI CASERO TRESA 8/10 GR</t>
  </si>
  <si>
    <t>SALSA MAYONESA ACEVICHADA EMIC 1 KG</t>
  </si>
  <si>
    <t>TAMAL DE MAIZ 150 GR</t>
  </si>
  <si>
    <t>PCH</t>
  </si>
  <si>
    <t>0MELA41410</t>
  </si>
  <si>
    <t>TAPA PARA ENVASE DESCARTABLE CIRCULAR PS BLANCO 0.5 - 1 LT ALFA X 200 UND</t>
  </si>
  <si>
    <t>YOGURT DE FRESA GLORIA 500 ML</t>
  </si>
  <si>
    <t>(+) Se descargó de más en el sistema por error en la digitación - 22/09/2026</t>
  </si>
  <si>
    <t>(+) Omisión del registro en el sistema del ingreso de mercadería al almacén - 24/09/2026</t>
  </si>
  <si>
    <t>(+) Omisión del registro en el sistema del ingreso de mercadería al almacén - 08/09/2026</t>
  </si>
  <si>
    <t>(+) Se descargó de más en el sistema por error en la digitación - 29/09/2026</t>
  </si>
  <si>
    <t>(+) Omisión del registro en el sistema del ingreso de mercadería al almacén - 07/09/2026</t>
  </si>
  <si>
    <t>(+) Se registró el ingreso de mercadería en el sistema en una cantidad distinta a la real por confusión de la unidad de medición - 25/09/2026</t>
  </si>
  <si>
    <t>(-) Se descargó de más en el sistema por error en la digitación - 21/09/2026</t>
  </si>
  <si>
    <t>(+/-) Error de conteo en el pre inventario interno anterior - 06/09/2026</t>
  </si>
  <si>
    <t>(+) Omisión del registro en el sistema del ingreso de mercadería al almacén - 15/09/2026</t>
  </si>
  <si>
    <t>(+/-) Error de conteo en el pre inventario interno anterior - 15/09/2026</t>
  </si>
  <si>
    <t>(+) Omisión del registro en el sistema del ingreso de mercadería al almacén - 30/09/2026</t>
  </si>
  <si>
    <t>(+) Omisión del registro en el sistema del ingreso de mercadería al almacén - 17/09/2026</t>
  </si>
  <si>
    <t>(-) Omisión del registro en el sistema de la salida de mercadería del almacén - 02/09/2026</t>
  </si>
  <si>
    <t>(+) Se descargó de más en el sistema por error en la digitación - 14/09/2026</t>
  </si>
  <si>
    <t>(+) Se registró el ingreso de mercadería en el sistema en una cantidad distinta a la real por confusión de la unidad de medición - 08/09/2026</t>
  </si>
  <si>
    <t>(+/-) Error de conteo en el pre inventario interno anterior - 09/09/2026</t>
  </si>
  <si>
    <t>(+) Se descargó de más en el sistema por error en la digitación - 06/09/2026</t>
  </si>
  <si>
    <t>(+/-) Error de conteo en el pre inventario interno anterior - 12/09/2026</t>
  </si>
  <si>
    <t>(-) Se descargó de más en el sistema por error en la digitación - 23/09/2026</t>
  </si>
  <si>
    <t>(+/-) Error de conteo en el pre inventario interno anterior - 22/09/2026</t>
  </si>
  <si>
    <t>(-) Se descargó de más en el sistema por error en la digitación - 15/09/2026</t>
  </si>
  <si>
    <t>(-) Se descargó de más en el sistema por error en la digitación - 27/09/2026</t>
  </si>
  <si>
    <t>(+) Se registró el ingreso de mercadería en el sistema en una cantidad distinta a la real por confusión de la unidad de medición - 09/09/2026</t>
  </si>
  <si>
    <t>(+) Se registró el ingreso de mercadería en el sistema en una cantidad distinta a la real por confusión de la unidad de medición - 26/09/2026</t>
  </si>
  <si>
    <t>(+) Se registró el ingreso de mercadería en el sistema en una cantidad distinta a la real por confusión de la unidad de medición - 15/09/2026</t>
  </si>
  <si>
    <t>(+) Se descargó de más en el sistema por error en la digitación - 09/09/2026</t>
  </si>
  <si>
    <t>(-) Se descargó de más en el sistema por error en la digitación - 19/09/2026</t>
  </si>
  <si>
    <t>(+) Se descargó de más en el sistema por error en la digitación - 08/09/2026</t>
  </si>
  <si>
    <t>(+) Se descargó de más en el sistema por error en la digitación - 27/09/2026</t>
  </si>
  <si>
    <t>(+) Se descargó de más en el sistema por error en la digitación - 24/09/2026</t>
  </si>
  <si>
    <t>(-) Se descargó de menos en el sistema por error en la digitación - 30/09/2026</t>
  </si>
  <si>
    <t>(+/-) Error de conteo en el pre inventario interno anterior - 08/09/2026</t>
  </si>
  <si>
    <t>(+) Se descargó de más en el sistema por error en la digitación - 30/09/2026</t>
  </si>
  <si>
    <t>(+) Se descargó de más en el sistema por error en la digitación - 21/09/2026</t>
  </si>
  <si>
    <t>(+) Se descargó de más en el sistema por error en la digitación - 04/09/2026</t>
  </si>
  <si>
    <t>(+) Omisión del registro en el sistema del ingreso de mercadería al almacén - 26/09/2026</t>
  </si>
  <si>
    <t>(+) Se descargó de más en el sistema por error en la digitación - 03/09/2026</t>
  </si>
  <si>
    <t>(+/-) Error de conteo en el pre inventario interno anterior - 26/09/2026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</si>
</sst>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indexed="8"/>
      <name val="Arial"/>
      <charset val="1"/>
    </font>
    <font>
      <sz val="10"/>
      <color indexed="8"/>
      <name val="Arial"/>
      <family val="2"/>
    </font>
    <font>
      <b/>
      <sz val="10"/>
      <name val="Arial"/>
      <family val="2"/>
    </font>
    <font>
      <sz val="10"/>
      <name val="Arial"/>
      <family val="2"/>
    </font>
    <font>
      <b/>
      <sz val="8"/>
      <name val="Arial"/>
      <family val="2"/>
    </font>
    <font>
      <sz val="9"/>
      <color indexed="8"/>
      <name val="Arial"/>
      <family val="2"/>
    </font>
    <font>
      <sz val="10"/>
      <color theme="1"/>
      <name val="Arial"/>
      <family val="2"/>
    </font>
    <font>
      <b/>
      <sz val="12"/>
      <color theme="1"/>
      <name val="Arial"/>
      <family val="2"/>
    </font>
    <font>
      <b/>
      <sz val="10"/>
      <color theme="1"/>
      <name val="Arial"/>
      <family val="2"/>
    </font>
    <font>
      <sz val="8"/>
      <color indexed="8"/>
      <name val="Arial"/>
      <family val="2"/>
    </font>
    <font>
      <b/>
      <sz val="12"/>
      <color indexed="8"/>
      <name val="Arial"/>
      <family val="2"/>
    </font>
    <font>
      <b/>
      <sz val="10"/>
      <color indexed="8"/>
      <name val="Arial"/>
      <family val="2"/>
    </font>
    <font>
      <sz val="8"/>
      <color indexed="9"/>
      <name val="Arial"/>
      <family val="2"/>
    </font>
    <font>
      <sz val="10"/>
      <color indexed="8"/>
      <name val="Arial"/>
      <family val="2"/>
    </font>
    <font>
      <sz val="9"/>
      <name val="Arial"/>
      <family val="2"/>
    </font>
    <font>
      <b/>
      <u/>
      <sz val="9"/>
      <name val="Arial"/>
      <family val="2"/>
    </font>
    <font>
      <sz val="8"/>
      <name val="Arial"/>
      <family val="2"/>
    </font>
    <font>
      <sz val="8"/>
      <color theme="1"/>
      <name val="Arial"/>
      <family val="2"/>
    </font>
    <font>
      <b/>
      <sz val="10"/>
      <color theme="0"/>
      <name val="Arial"/>
      <family val="2"/>
    </font>
    <font>
      <b/>
      <sz val="12"/>
      <color theme="0"/>
      <name val="Arial"/>
      <family val="2"/>
    </font>
    <font>
      <sz val="12"/>
      <color theme="1"/>
      <name val="Arial"/>
      <family val="2"/>
    </font>
    <font>
      <sz val="12"/>
      <color indexed="8"/>
      <name val="Arial"/>
      <family val="2"/>
    </font>
    <font>
      <b/>
      <sz val="12"/>
      <name val="Arial"/>
      <family val="2"/>
    </font>
    <font>
      <sz val="12"/>
      <color indexed="9"/>
      <name val="Arial"/>
      <family val="2"/>
    </font>
    <font>
      <sz val="12"/>
      <color rgb="FFFF0000"/>
      <name val="Arial"/>
      <family val="2"/>
    </font>
    <font>
      <sz val="12"/>
      <name val="Arial"/>
      <family val="2"/>
    </font>
    <font>
      <b/>
      <u/>
      <sz val="12"/>
      <color indexed="8"/>
      <name val="Arial"/>
      <family val="2"/>
    </font>
    <font>
      <sz val="6.5"/>
      <color theme="1"/>
      <name val="Arial"/>
      <family val="2"/>
    </font>
  </fonts>
  <fills count="5">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
      <patternFill patternType="solid">
        <fgColor theme="4" tint="0.39997558519241921"/>
        <bgColor indexed="64"/>
      </patternFill>
    </fill>
  </fills>
  <borders count="1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pplyNumberFormat="0" applyFill="0" applyBorder="0" applyAlignment="0" applyProtection="0"/>
    <xf numFmtId="0" fontId="1" fillId="0" borderId="0" applyNumberFormat="0" applyFill="0" applyBorder="0" applyAlignment="0" applyProtection="0"/>
    <xf numFmtId="9" fontId="13" fillId="0" borderId="0" applyFont="0" applyFill="0" applyBorder="0" applyAlignment="0" applyProtection="0"/>
  </cellStyleXfs>
  <cellXfs count="175">
    <xf numFmtId="0" fontId="0" fillId="0" borderId="0" xfId="0"/>
    <xf numFmtId="0" fontId="3" fillId="0" borderId="0" xfId="0" applyFont="1" applyAlignment="1" applyProtection="1">
      <alignment horizontal="left" vertical="top"/>
      <protection locked="0"/>
    </xf>
    <xf numFmtId="3" fontId="9" fillId="0" borderId="0" xfId="1" applyNumberFormat="1" applyFont="1" applyFill="1" applyAlignment="1" applyProtection="1">
      <alignment horizontal="left" vertical="top"/>
      <protection locked="0"/>
    </xf>
    <xf numFmtId="4" fontId="0" fillId="0" borderId="0" xfId="0" applyNumberFormat="1" applyFill="1" applyAlignment="1" applyProtection="1">
      <alignment horizontal="left" vertical="top"/>
      <protection locked="0"/>
    </xf>
    <xf numFmtId="3" fontId="0" fillId="0" borderId="0" xfId="0" applyNumberFormat="1" applyFill="1" applyBorder="1" applyAlignment="1" applyProtection="1">
      <alignment horizontal="left" vertical="top"/>
      <protection locked="0"/>
    </xf>
    <xf numFmtId="4" fontId="1" fillId="0" borderId="0" xfId="1" applyNumberFormat="1" applyFill="1" applyBorder="1" applyAlignment="1" applyProtection="1">
      <alignment horizontal="left" vertical="top"/>
      <protection locked="0"/>
    </xf>
    <xf numFmtId="4" fontId="1" fillId="0" borderId="0" xfId="1" applyNumberFormat="1" applyFill="1" applyAlignment="1" applyProtection="1">
      <alignment horizontal="left" vertical="top"/>
      <protection locked="0"/>
    </xf>
    <xf numFmtId="4" fontId="11" fillId="0" borderId="0" xfId="1" applyNumberFormat="1" applyFont="1" applyFill="1" applyBorder="1" applyAlignment="1" applyProtection="1">
      <alignment horizontal="left" vertical="top"/>
      <protection locked="0"/>
    </xf>
    <xf numFmtId="4" fontId="12" fillId="0" borderId="0" xfId="0" applyNumberFormat="1" applyFont="1" applyFill="1" applyBorder="1" applyAlignment="1" applyProtection="1">
      <alignment horizontal="left" vertical="top"/>
      <protection locked="0"/>
    </xf>
    <xf numFmtId="4" fontId="12" fillId="0" borderId="0" xfId="0" applyNumberFormat="1" applyFont="1" applyFill="1" applyAlignment="1" applyProtection="1">
      <alignment horizontal="left" vertical="top"/>
      <protection locked="0"/>
    </xf>
    <xf numFmtId="4" fontId="12" fillId="0" borderId="0" xfId="0" applyNumberFormat="1" applyFont="1" applyFill="1" applyAlignment="1" applyProtection="1">
      <alignment horizontal="right" vertical="top"/>
      <protection locked="0"/>
    </xf>
    <xf numFmtId="4" fontId="4" fillId="0" borderId="0" xfId="0" applyNumberFormat="1" applyFont="1" applyFill="1" applyAlignment="1" applyProtection="1">
      <alignment horizontal="right" vertical="top"/>
      <protection locked="0"/>
    </xf>
    <xf numFmtId="3" fontId="0" fillId="0" borderId="1" xfId="0" applyNumberFormat="1" applyFill="1" applyBorder="1" applyAlignment="1" applyProtection="1">
      <alignment horizontal="left" vertical="top"/>
      <protection locked="0"/>
    </xf>
    <xf numFmtId="4" fontId="16" fillId="0" borderId="0" xfId="0" applyNumberFormat="1" applyFont="1" applyFill="1" applyBorder="1" applyAlignment="1" applyProtection="1">
      <alignment horizontal="left" vertical="top"/>
      <protection locked="0"/>
    </xf>
    <xf numFmtId="4" fontId="3" fillId="0" borderId="0" xfId="1" applyNumberFormat="1" applyFont="1" applyFill="1" applyAlignment="1" applyProtection="1">
      <alignment horizontal="left" vertical="top"/>
      <protection locked="0"/>
    </xf>
    <xf numFmtId="4" fontId="4" fillId="0" borderId="0" xfId="0" applyNumberFormat="1" applyFont="1" applyFill="1" applyBorder="1" applyAlignment="1" applyProtection="1">
      <alignment horizontal="left" vertical="top"/>
      <protection locked="0"/>
    </xf>
    <xf numFmtId="4" fontId="2" fillId="0" borderId="0" xfId="1" applyNumberFormat="1" applyFont="1" applyFill="1" applyAlignment="1" applyProtection="1">
      <alignment horizontal="left" vertical="top"/>
      <protection locked="0"/>
    </xf>
    <xf numFmtId="4" fontId="8" fillId="0" borderId="0" xfId="1" applyNumberFormat="1" applyFont="1" applyFill="1" applyBorder="1" applyAlignment="1" applyProtection="1">
      <alignment horizontal="left" vertical="top"/>
      <protection locked="0"/>
    </xf>
    <xf numFmtId="4" fontId="6" fillId="0" borderId="0" xfId="1" applyNumberFormat="1" applyFont="1" applyFill="1" applyBorder="1" applyAlignment="1" applyProtection="1">
      <alignment horizontal="left" vertical="top"/>
      <protection locked="0"/>
    </xf>
    <xf numFmtId="4" fontId="17" fillId="0" borderId="0" xfId="0" applyNumberFormat="1" applyFont="1" applyFill="1" applyBorder="1" applyAlignment="1" applyProtection="1">
      <alignment horizontal="right" vertical="top"/>
      <protection locked="0"/>
    </xf>
    <xf numFmtId="3" fontId="11" fillId="0" borderId="0" xfId="0" applyNumberFormat="1" applyFont="1" applyFill="1" applyBorder="1" applyAlignment="1" applyProtection="1">
      <alignment horizontal="right" vertical="top"/>
    </xf>
    <xf numFmtId="0" fontId="6" fillId="0" borderId="2" xfId="0" applyFont="1" applyFill="1" applyBorder="1" applyAlignment="1" applyProtection="1">
      <alignment horizontal="left" vertical="top"/>
      <protection locked="0"/>
    </xf>
    <xf numFmtId="0" fontId="6" fillId="0" borderId="2" xfId="0" applyFont="1" applyFill="1" applyBorder="1" applyAlignment="1" applyProtection="1">
      <alignment vertical="top"/>
      <protection locked="0"/>
    </xf>
    <xf numFmtId="0" fontId="6" fillId="0" borderId="2" xfId="0" applyFont="1" applyFill="1" applyBorder="1" applyAlignment="1" applyProtection="1">
      <alignment horizontal="center" vertical="top"/>
      <protection locked="0"/>
    </xf>
    <xf numFmtId="4" fontId="6" fillId="0" borderId="2" xfId="0" applyNumberFormat="1" applyFont="1" applyFill="1" applyBorder="1" applyAlignment="1" applyProtection="1">
      <alignment horizontal="right" vertical="top"/>
      <protection locked="0"/>
    </xf>
    <xf numFmtId="4" fontId="12" fillId="0" borderId="0" xfId="0" applyNumberFormat="1" applyFont="1" applyFill="1" applyAlignment="1" applyProtection="1">
      <alignment horizontal="left" vertical="top"/>
    </xf>
    <xf numFmtId="4" fontId="12" fillId="0" borderId="0" xfId="0" applyNumberFormat="1" applyFont="1" applyFill="1" applyAlignment="1" applyProtection="1">
      <alignment horizontal="right" vertical="top"/>
    </xf>
    <xf numFmtId="4" fontId="0" fillId="0" borderId="0" xfId="0" applyNumberFormat="1" applyFill="1" applyAlignment="1" applyProtection="1">
      <alignment horizontal="left" vertical="top"/>
    </xf>
    <xf numFmtId="3" fontId="0" fillId="0" borderId="0" xfId="0" applyNumberFormat="1" applyFill="1" applyBorder="1" applyAlignment="1" applyProtection="1">
      <alignment horizontal="left" vertical="top"/>
    </xf>
    <xf numFmtId="0" fontId="3" fillId="0" borderId="0" xfId="0" applyFont="1" applyAlignment="1" applyProtection="1">
      <alignment horizontal="left" vertical="top"/>
    </xf>
    <xf numFmtId="0" fontId="0" fillId="0" borderId="0" xfId="0" applyProtection="1"/>
    <xf numFmtId="0" fontId="3" fillId="0" borderId="0" xfId="0" applyFont="1" applyAlignment="1" applyProtection="1">
      <alignment horizontal="center" vertical="top"/>
    </xf>
    <xf numFmtId="4" fontId="15" fillId="0" borderId="0" xfId="0" applyNumberFormat="1" applyFont="1" applyFill="1" applyAlignment="1" applyProtection="1">
      <alignment horizontal="left" vertical="top"/>
      <protection locked="0"/>
    </xf>
    <xf numFmtId="0" fontId="2" fillId="0" borderId="2" xfId="0" applyFont="1" applyBorder="1" applyAlignment="1" applyProtection="1">
      <alignment horizontal="center" vertical="top" wrapText="1"/>
      <protection locked="0"/>
    </xf>
    <xf numFmtId="0" fontId="5" fillId="0" borderId="2" xfId="0" applyFont="1" applyBorder="1" applyAlignment="1">
      <alignment horizontal="justify" vertical="top"/>
    </xf>
    <xf numFmtId="0" fontId="5" fillId="0" borderId="2" xfId="0" applyFont="1" applyBorder="1" applyAlignment="1">
      <alignment horizontal="justify" vertical="top" wrapText="1"/>
    </xf>
    <xf numFmtId="0" fontId="5" fillId="0" borderId="2" xfId="0" applyFont="1" applyBorder="1" applyAlignment="1">
      <alignment horizontal="left" vertical="top" wrapText="1"/>
    </xf>
    <xf numFmtId="4" fontId="14" fillId="0" borderId="0" xfId="0" applyNumberFormat="1" applyFont="1" applyFill="1" applyAlignment="1" applyProtection="1">
      <alignment horizontal="left" vertical="top"/>
      <protection locked="0"/>
    </xf>
    <xf numFmtId="0" fontId="3" fillId="0" borderId="0" xfId="0" applyFont="1" applyFill="1" applyAlignment="1" applyProtection="1">
      <alignment horizontal="left" vertical="top"/>
      <protection locked="0"/>
    </xf>
    <xf numFmtId="3" fontId="9" fillId="0" borderId="4" xfId="1" applyNumberFormat="1" applyFont="1" applyFill="1" applyBorder="1" applyAlignment="1" applyProtection="1">
      <alignment horizontal="left" vertical="top"/>
      <protection locked="0"/>
    </xf>
    <xf numFmtId="4" fontId="1" fillId="0" borderId="9" xfId="1" applyNumberFormat="1" applyFill="1" applyBorder="1" applyAlignment="1" applyProtection="1">
      <alignment horizontal="left" vertical="top"/>
      <protection locked="0"/>
    </xf>
    <xf numFmtId="3" fontId="9" fillId="0" borderId="10" xfId="1" applyNumberFormat="1" applyFont="1" applyFill="1" applyBorder="1" applyAlignment="1" applyProtection="1">
      <alignment horizontal="left" vertical="top"/>
      <protection locked="0"/>
    </xf>
    <xf numFmtId="0" fontId="7" fillId="0" borderId="0" xfId="0" applyFont="1" applyBorder="1" applyAlignment="1" applyProtection="1">
      <alignment horizontal="left"/>
      <protection locked="0"/>
    </xf>
    <xf numFmtId="4" fontId="10" fillId="0" borderId="11" xfId="1" applyNumberFormat="1" applyFont="1" applyFill="1" applyBorder="1" applyAlignment="1" applyProtection="1">
      <alignment horizontal="left" vertical="top"/>
      <protection locked="0"/>
    </xf>
    <xf numFmtId="4" fontId="1" fillId="0" borderId="11" xfId="1" applyNumberFormat="1" applyFill="1" applyBorder="1" applyAlignment="1" applyProtection="1">
      <alignment horizontal="left" vertical="top"/>
      <protection locked="0"/>
    </xf>
    <xf numFmtId="4" fontId="11" fillId="0" borderId="11" xfId="1" applyNumberFormat="1" applyFont="1" applyFill="1" applyBorder="1" applyAlignment="1" applyProtection="1">
      <alignment horizontal="left" vertical="top"/>
      <protection locked="0"/>
    </xf>
    <xf numFmtId="4" fontId="12" fillId="0" borderId="11" xfId="0" applyNumberFormat="1" applyFont="1" applyFill="1" applyBorder="1" applyAlignment="1" applyProtection="1">
      <alignment horizontal="left" vertical="top"/>
      <protection locked="0"/>
    </xf>
    <xf numFmtId="3" fontId="4" fillId="0" borderId="10" xfId="1" applyNumberFormat="1" applyFont="1" applyFill="1" applyBorder="1" applyAlignment="1" applyProtection="1">
      <alignment horizontal="left" vertical="top"/>
      <protection locked="0"/>
    </xf>
    <xf numFmtId="4" fontId="4" fillId="0" borderId="11" xfId="0" applyNumberFormat="1" applyFont="1" applyFill="1" applyBorder="1" applyAlignment="1" applyProtection="1">
      <alignment horizontal="left" vertical="top"/>
      <protection locked="0"/>
    </xf>
    <xf numFmtId="3" fontId="16" fillId="0" borderId="10" xfId="1" applyNumberFormat="1" applyFont="1" applyFill="1" applyBorder="1" applyAlignment="1" applyProtection="1">
      <alignment horizontal="left" vertical="top"/>
      <protection locked="0"/>
    </xf>
    <xf numFmtId="4" fontId="16" fillId="0" borderId="11" xfId="0" applyNumberFormat="1" applyFont="1" applyFill="1" applyBorder="1" applyAlignment="1" applyProtection="1">
      <alignment horizontal="left" vertical="top"/>
      <protection locked="0"/>
    </xf>
    <xf numFmtId="3" fontId="16" fillId="0" borderId="12" xfId="1" applyNumberFormat="1" applyFont="1" applyFill="1" applyBorder="1" applyAlignment="1" applyProtection="1">
      <alignment horizontal="left" vertical="top"/>
      <protection locked="0"/>
    </xf>
    <xf numFmtId="4" fontId="16" fillId="0" borderId="14" xfId="0" applyNumberFormat="1" applyFont="1" applyFill="1" applyBorder="1" applyAlignment="1" applyProtection="1">
      <alignment horizontal="left" vertical="top"/>
      <protection locked="0"/>
    </xf>
    <xf numFmtId="0" fontId="18" fillId="3" borderId="2" xfId="0" applyFont="1" applyFill="1" applyBorder="1" applyAlignment="1" applyProtection="1">
      <alignment horizontal="center" vertical="center"/>
    </xf>
    <xf numFmtId="0" fontId="18" fillId="3" borderId="5" xfId="0" applyFont="1" applyFill="1" applyBorder="1" applyAlignment="1" applyProtection="1">
      <alignment horizontal="center" vertical="center"/>
    </xf>
    <xf numFmtId="0" fontId="18" fillId="3" borderId="2" xfId="0" applyFont="1" applyFill="1" applyBorder="1" applyAlignment="1" applyProtection="1">
      <alignment horizontal="center" vertical="center" wrapText="1"/>
    </xf>
    <xf numFmtId="4" fontId="8" fillId="4" borderId="2" xfId="0" applyNumberFormat="1" applyFont="1" applyFill="1" applyBorder="1" applyAlignment="1" applyProtection="1">
      <alignment horizontal="center" vertical="center"/>
    </xf>
    <xf numFmtId="4" fontId="11" fillId="4" borderId="2" xfId="0" applyNumberFormat="1" applyFont="1" applyFill="1" applyBorder="1" applyAlignment="1" applyProtection="1">
      <alignment horizontal="center" vertical="center"/>
    </xf>
    <xf numFmtId="4" fontId="6" fillId="4" borderId="2" xfId="0" applyNumberFormat="1" applyFont="1" applyFill="1" applyBorder="1" applyAlignment="1" applyProtection="1">
      <alignment horizontal="right" vertical="top"/>
    </xf>
    <xf numFmtId="0" fontId="19" fillId="3" borderId="2" xfId="0" applyFont="1" applyFill="1" applyBorder="1" applyAlignment="1">
      <alignment horizontal="center" vertical="center"/>
    </xf>
    <xf numFmtId="0" fontId="19" fillId="3" borderId="5" xfId="0" applyFont="1" applyFill="1" applyBorder="1" applyAlignment="1">
      <alignment horizontal="center" vertical="center"/>
    </xf>
    <xf numFmtId="0" fontId="19" fillId="3" borderId="2" xfId="0" applyFont="1" applyFill="1" applyBorder="1" applyAlignment="1">
      <alignment horizontal="center" vertical="center" wrapText="1"/>
    </xf>
    <xf numFmtId="4" fontId="7" fillId="2" borderId="2" xfId="0" applyNumberFormat="1" applyFont="1" applyFill="1" applyBorder="1" applyAlignment="1">
      <alignment horizontal="center" vertical="center"/>
    </xf>
    <xf numFmtId="4" fontId="10" fillId="2" borderId="2" xfId="0" applyNumberFormat="1" applyFont="1" applyFill="1" applyBorder="1" applyAlignment="1">
      <alignment horizontal="center" vertical="center"/>
    </xf>
    <xf numFmtId="0" fontId="19" fillId="3" borderId="6" xfId="0" applyFont="1" applyFill="1" applyBorder="1" applyAlignment="1" applyProtection="1">
      <alignment horizontal="center" vertical="center"/>
      <protection locked="0"/>
    </xf>
    <xf numFmtId="0" fontId="20" fillId="0" borderId="2" xfId="0" applyFont="1" applyFill="1" applyBorder="1" applyAlignment="1" applyProtection="1">
      <alignment vertical="top"/>
    </xf>
    <xf numFmtId="0" fontId="7" fillId="0" borderId="2" xfId="0" applyFont="1" applyFill="1" applyBorder="1" applyAlignment="1" applyProtection="1">
      <alignment vertical="top"/>
    </xf>
    <xf numFmtId="0" fontId="20" fillId="0" borderId="2" xfId="0" applyFont="1" applyFill="1" applyBorder="1" applyAlignment="1" applyProtection="1">
      <alignment horizontal="center" vertical="top"/>
    </xf>
    <xf numFmtId="0" fontId="20" fillId="0" borderId="2" xfId="0" applyFont="1" applyFill="1" applyBorder="1" applyAlignment="1" applyProtection="1">
      <alignment horizontal="right" vertical="top"/>
    </xf>
    <xf numFmtId="4" fontId="7" fillId="0" borderId="2" xfId="0" applyNumberFormat="1" applyFont="1" applyFill="1" applyBorder="1" applyAlignment="1" applyProtection="1">
      <alignment horizontal="right" vertical="top"/>
    </xf>
    <xf numFmtId="4" fontId="20" fillId="0" borderId="2" xfId="0" applyNumberFormat="1" applyFont="1" applyFill="1" applyBorder="1" applyAlignment="1" applyProtection="1">
      <alignment horizontal="right" vertical="top"/>
    </xf>
    <xf numFmtId="4" fontId="7" fillId="2" borderId="7" xfId="0" applyNumberFormat="1" applyFont="1" applyFill="1" applyBorder="1" applyAlignment="1">
      <alignment horizontal="right" vertical="top"/>
    </xf>
    <xf numFmtId="4" fontId="21" fillId="2" borderId="2" xfId="0" applyNumberFormat="1" applyFont="1" applyFill="1" applyBorder="1" applyAlignment="1"/>
    <xf numFmtId="4" fontId="22" fillId="0" borderId="2" xfId="0" applyNumberFormat="1" applyFont="1" applyFill="1" applyBorder="1" applyAlignment="1" applyProtection="1">
      <alignment horizontal="left" vertical="top"/>
      <protection locked="0"/>
    </xf>
    <xf numFmtId="0" fontId="21" fillId="2" borderId="7" xfId="0" applyFont="1" applyFill="1" applyBorder="1" applyAlignment="1"/>
    <xf numFmtId="0" fontId="21" fillId="2" borderId="2" xfId="0" applyFont="1" applyFill="1" applyBorder="1" applyAlignment="1"/>
    <xf numFmtId="4" fontId="22" fillId="0" borderId="2" xfId="0" applyNumberFormat="1" applyFont="1" applyFill="1" applyBorder="1" applyAlignment="1" applyProtection="1">
      <alignment horizontal="left" vertical="top" indent="1"/>
      <protection locked="0"/>
    </xf>
    <xf numFmtId="0" fontId="20" fillId="0" borderId="2" xfId="0" applyFont="1" applyFill="1" applyBorder="1" applyAlignment="1" applyProtection="1">
      <alignment horizontal="left" vertical="top"/>
      <protection locked="0"/>
    </xf>
    <xf numFmtId="0" fontId="20" fillId="0" borderId="2" xfId="0" applyFont="1" applyFill="1" applyBorder="1" applyAlignment="1" applyProtection="1">
      <alignment vertical="top"/>
      <protection locked="0"/>
    </xf>
    <xf numFmtId="0" fontId="20" fillId="0" borderId="2" xfId="0" applyFont="1" applyFill="1" applyBorder="1" applyAlignment="1" applyProtection="1">
      <alignment horizontal="center" vertical="top"/>
      <protection locked="0"/>
    </xf>
    <xf numFmtId="4" fontId="20" fillId="0" borderId="2" xfId="0" applyNumberFormat="1" applyFont="1" applyFill="1" applyBorder="1" applyAlignment="1" applyProtection="1">
      <alignment horizontal="right" vertical="top"/>
      <protection locked="0"/>
    </xf>
    <xf numFmtId="4" fontId="20" fillId="2" borderId="7" xfId="0" applyNumberFormat="1" applyFont="1" applyFill="1" applyBorder="1" applyAlignment="1">
      <alignment horizontal="right" vertical="top"/>
    </xf>
    <xf numFmtId="4" fontId="20" fillId="2" borderId="2" xfId="0" applyNumberFormat="1" applyFont="1" applyFill="1" applyBorder="1" applyAlignment="1">
      <alignment horizontal="right" vertical="top"/>
    </xf>
    <xf numFmtId="4" fontId="22" fillId="0" borderId="2" xfId="0" applyNumberFormat="1" applyFont="1" applyFill="1" applyBorder="1" applyAlignment="1" applyProtection="1">
      <alignment vertical="top" wrapText="1"/>
      <protection locked="0"/>
    </xf>
    <xf numFmtId="0" fontId="20" fillId="0" borderId="2" xfId="0" applyFont="1" applyFill="1" applyBorder="1" applyAlignment="1" applyProtection="1">
      <alignment horizontal="left" vertical="center"/>
    </xf>
    <xf numFmtId="0" fontId="20" fillId="0" borderId="2" xfId="0" applyFont="1" applyFill="1" applyBorder="1" applyAlignment="1" applyProtection="1">
      <alignment horizontal="center" vertical="center"/>
    </xf>
    <xf numFmtId="0" fontId="20" fillId="0" borderId="2" xfId="0" applyFont="1" applyFill="1" applyBorder="1" applyAlignment="1" applyProtection="1">
      <alignment horizontal="right" vertical="center"/>
    </xf>
    <xf numFmtId="4" fontId="23" fillId="0" borderId="0" xfId="0" applyNumberFormat="1" applyFont="1" applyFill="1" applyBorder="1" applyAlignment="1" applyProtection="1">
      <alignment horizontal="left" vertical="top"/>
    </xf>
    <xf numFmtId="4" fontId="23" fillId="0" borderId="0" xfId="0" applyNumberFormat="1" applyFont="1" applyFill="1" applyBorder="1" applyAlignment="1" applyProtection="1">
      <alignment horizontal="right" vertical="top"/>
    </xf>
    <xf numFmtId="4" fontId="21" fillId="0" borderId="0" xfId="0" applyNumberFormat="1" applyFont="1" applyFill="1" applyBorder="1" applyAlignment="1" applyProtection="1">
      <alignment horizontal="left" vertical="top"/>
    </xf>
    <xf numFmtId="3" fontId="21" fillId="0" borderId="1" xfId="0" applyNumberFormat="1" applyFont="1" applyFill="1" applyBorder="1" applyAlignment="1" applyProtection="1">
      <alignment horizontal="left" vertical="top"/>
    </xf>
    <xf numFmtId="4" fontId="23" fillId="0" borderId="0" xfId="0" applyNumberFormat="1" applyFont="1" applyFill="1" applyBorder="1" applyAlignment="1" applyProtection="1">
      <alignment horizontal="left" vertical="top"/>
      <protection locked="0"/>
    </xf>
    <xf numFmtId="3" fontId="10" fillId="0" borderId="0" xfId="0" applyNumberFormat="1" applyFont="1" applyFill="1" applyBorder="1" applyAlignment="1" applyProtection="1">
      <alignment horizontal="right" vertical="top"/>
    </xf>
    <xf numFmtId="9" fontId="24" fillId="0" borderId="0" xfId="2" applyFont="1" applyFill="1" applyBorder="1" applyAlignment="1" applyProtection="1">
      <alignment horizontal="left" vertical="top"/>
    </xf>
    <xf numFmtId="3" fontId="21" fillId="0" borderId="0" xfId="0" applyNumberFormat="1" applyFont="1" applyFill="1" applyBorder="1" applyAlignment="1" applyProtection="1">
      <alignment horizontal="left" vertical="top"/>
    </xf>
    <xf numFmtId="4" fontId="23" fillId="0" borderId="0" xfId="0" applyNumberFormat="1" applyFont="1" applyFill="1" applyBorder="1" applyAlignment="1" applyProtection="1">
      <alignment horizontal="right" vertical="top"/>
      <protection locked="0"/>
    </xf>
    <xf numFmtId="4" fontId="21" fillId="0" borderId="0" xfId="0" applyNumberFormat="1" applyFont="1" applyFill="1" applyBorder="1" applyAlignment="1" applyProtection="1">
      <alignment horizontal="left" vertical="top"/>
      <protection locked="0"/>
    </xf>
    <xf numFmtId="3" fontId="21" fillId="0" borderId="0" xfId="0" applyNumberFormat="1" applyFont="1" applyFill="1" applyBorder="1" applyAlignment="1" applyProtection="1">
      <alignment horizontal="left" vertical="top"/>
      <protection locked="0"/>
    </xf>
    <xf numFmtId="4" fontId="23" fillId="0" borderId="1" xfId="0" applyNumberFormat="1" applyFont="1" applyFill="1" applyBorder="1" applyAlignment="1" applyProtection="1">
      <alignment horizontal="left" vertical="top"/>
      <protection locked="0"/>
    </xf>
    <xf numFmtId="4" fontId="23" fillId="0" borderId="1" xfId="0" applyNumberFormat="1" applyFont="1" applyFill="1" applyBorder="1" applyAlignment="1" applyProtection="1">
      <alignment horizontal="right" vertical="top"/>
      <protection locked="0"/>
    </xf>
    <xf numFmtId="4" fontId="21" fillId="0" borderId="1" xfId="0" applyNumberFormat="1" applyFont="1" applyFill="1" applyBorder="1" applyAlignment="1" applyProtection="1">
      <alignment horizontal="left" vertical="top"/>
      <protection locked="0"/>
    </xf>
    <xf numFmtId="3" fontId="21" fillId="0" borderId="1" xfId="0" applyNumberFormat="1" applyFont="1" applyFill="1" applyBorder="1" applyAlignment="1" applyProtection="1">
      <alignment horizontal="left" vertical="top"/>
      <protection locked="0"/>
    </xf>
    <xf numFmtId="4" fontId="22" fillId="0" borderId="0" xfId="0" applyNumberFormat="1" applyFont="1" applyFill="1" applyBorder="1" applyAlignment="1" applyProtection="1">
      <alignment horizontal="left" vertical="top"/>
      <protection locked="0"/>
    </xf>
    <xf numFmtId="4" fontId="22" fillId="0" borderId="0" xfId="0" applyNumberFormat="1" applyFont="1" applyFill="1" applyBorder="1" applyAlignment="1" applyProtection="1">
      <alignment horizontal="center" vertical="top"/>
    </xf>
    <xf numFmtId="4" fontId="22" fillId="0" borderId="0" xfId="0" applyNumberFormat="1" applyFont="1" applyFill="1" applyBorder="1" applyAlignment="1" applyProtection="1">
      <alignment horizontal="right" vertical="top"/>
      <protection locked="0"/>
    </xf>
    <xf numFmtId="4" fontId="25" fillId="0" borderId="0" xfId="0" applyNumberFormat="1" applyFont="1" applyFill="1" applyBorder="1" applyAlignment="1" applyProtection="1">
      <alignment horizontal="right" vertical="top"/>
    </xf>
    <xf numFmtId="4" fontId="25" fillId="0" borderId="0" xfId="0" applyNumberFormat="1" applyFont="1" applyFill="1" applyBorder="1" applyAlignment="1" applyProtection="1">
      <alignment horizontal="left" vertical="top"/>
      <protection locked="0"/>
    </xf>
    <xf numFmtId="4" fontId="25" fillId="0" borderId="0" xfId="0" applyNumberFormat="1" applyFont="1" applyFill="1" applyBorder="1" applyAlignment="1" applyProtection="1">
      <alignment horizontal="right" vertical="top"/>
      <protection locked="0"/>
    </xf>
    <xf numFmtId="3" fontId="25" fillId="0" borderId="0" xfId="0" applyNumberFormat="1" applyFont="1" applyFill="1" applyBorder="1" applyAlignment="1" applyProtection="1">
      <alignment horizontal="left" vertical="top"/>
      <protection locked="0"/>
    </xf>
    <xf numFmtId="4" fontId="22" fillId="0" borderId="3" xfId="0" applyNumberFormat="1" applyFont="1" applyFill="1" applyBorder="1" applyAlignment="1" applyProtection="1">
      <alignment horizontal="center" vertical="top"/>
      <protection locked="0"/>
    </xf>
    <xf numFmtId="4" fontId="25" fillId="0" borderId="0" xfId="1" applyNumberFormat="1" applyFont="1" applyFill="1" applyBorder="1" applyAlignment="1" applyProtection="1">
      <alignment horizontal="left" vertical="top"/>
      <protection locked="0"/>
    </xf>
    <xf numFmtId="4" fontId="22" fillId="0" borderId="0" xfId="0" applyNumberFormat="1" applyFont="1" applyFill="1" applyBorder="1" applyAlignment="1" applyProtection="1">
      <alignment horizontal="center" vertical="top"/>
      <protection locked="0"/>
    </xf>
    <xf numFmtId="4" fontId="22" fillId="0" borderId="0" xfId="1" applyNumberFormat="1" applyFont="1" applyFill="1" applyBorder="1" applyAlignment="1" applyProtection="1">
      <alignment horizontal="left" vertical="top"/>
      <protection locked="0"/>
    </xf>
    <xf numFmtId="4" fontId="21" fillId="0" borderId="0" xfId="1" applyNumberFormat="1" applyFont="1" applyFill="1" applyBorder="1" applyAlignment="1" applyProtection="1">
      <alignment horizontal="left" vertical="top"/>
      <protection locked="0"/>
    </xf>
    <xf numFmtId="4" fontId="25" fillId="0" borderId="0" xfId="0" applyNumberFormat="1" applyFont="1" applyFill="1" applyBorder="1" applyAlignment="1" applyProtection="1">
      <alignment horizontal="left" vertical="top"/>
    </xf>
    <xf numFmtId="3" fontId="25" fillId="0" borderId="0" xfId="0" applyNumberFormat="1" applyFont="1" applyFill="1" applyBorder="1" applyAlignment="1" applyProtection="1">
      <alignment horizontal="left" vertical="top"/>
    </xf>
    <xf numFmtId="4" fontId="25" fillId="0" borderId="13" xfId="0" applyNumberFormat="1" applyFont="1" applyFill="1" applyBorder="1" applyAlignment="1" applyProtection="1">
      <alignment horizontal="left" vertical="top"/>
    </xf>
    <xf numFmtId="4" fontId="25" fillId="0" borderId="13" xfId="0" applyNumberFormat="1" applyFont="1" applyFill="1" applyBorder="1" applyAlignment="1" applyProtection="1">
      <alignment horizontal="right" vertical="top"/>
    </xf>
    <xf numFmtId="3" fontId="25" fillId="0" borderId="13" xfId="0" applyNumberFormat="1" applyFont="1" applyFill="1" applyBorder="1" applyAlignment="1" applyProtection="1">
      <alignment horizontal="left" vertical="top"/>
    </xf>
    <xf numFmtId="4" fontId="25" fillId="0" borderId="13" xfId="0" applyNumberFormat="1" applyFont="1" applyFill="1" applyBorder="1" applyAlignment="1" applyProtection="1">
      <alignment horizontal="left" vertical="top"/>
      <protection locked="0"/>
    </xf>
    <xf numFmtId="4" fontId="21" fillId="0" borderId="8" xfId="0" applyNumberFormat="1" applyFont="1" applyFill="1" applyBorder="1" applyAlignment="1" applyProtection="1">
      <alignment horizontal="left" vertical="top"/>
      <protection locked="0"/>
    </xf>
    <xf numFmtId="3" fontId="21" fillId="0" borderId="8" xfId="0" applyNumberFormat="1" applyFont="1" applyFill="1" applyBorder="1" applyAlignment="1" applyProtection="1">
      <alignment horizontal="left" vertical="top"/>
      <protection locked="0"/>
    </xf>
    <xf numFmtId="4" fontId="21" fillId="0" borderId="8" xfId="1" applyNumberFormat="1" applyFont="1" applyFill="1" applyBorder="1" applyAlignment="1" applyProtection="1">
      <alignment horizontal="left" vertical="top"/>
      <protection locked="0"/>
    </xf>
    <xf numFmtId="4" fontId="26" fillId="0" borderId="0" xfId="0" applyNumberFormat="1" applyFont="1" applyFill="1" applyBorder="1" applyAlignment="1" applyProtection="1">
      <alignment horizontal="left" vertical="top"/>
      <protection locked="0"/>
    </xf>
    <xf numFmtId="4" fontId="10" fillId="0" borderId="0" xfId="0" applyNumberFormat="1" applyFont="1" applyFill="1" applyBorder="1" applyAlignment="1" applyProtection="1">
      <alignment horizontal="left" vertical="top"/>
      <protection locked="0"/>
    </xf>
    <xf numFmtId="0" fontId="7" fillId="0" borderId="0" xfId="0" applyFont="1" applyFill="1" applyBorder="1" applyAlignment="1" applyProtection="1">
      <alignment vertical="top" wrapText="1"/>
      <protection locked="0"/>
    </xf>
    <xf numFmtId="0" fontId="7" fillId="0" borderId="0" xfId="0" applyFont="1" applyFill="1" applyBorder="1" applyAlignment="1" applyProtection="1">
      <alignment horizontal="left" vertical="top"/>
      <protection locked="0"/>
    </xf>
    <xf numFmtId="0" fontId="21" fillId="0" borderId="0" xfId="0" applyFont="1" applyFill="1" applyBorder="1" applyAlignment="1" applyProtection="1">
      <protection locked="0"/>
    </xf>
    <xf numFmtId="14" fontId="7" fillId="0" borderId="0" xfId="0" applyNumberFormat="1" applyFont="1" applyFill="1" applyBorder="1" applyAlignment="1" applyProtection="1">
      <alignment horizontal="left" vertical="top"/>
      <protection locked="0"/>
    </xf>
    <xf numFmtId="0" fontId="20" fillId="0" borderId="0" xfId="0" applyFont="1" applyFill="1" applyBorder="1" applyAlignment="1" applyProtection="1">
      <alignment horizontal="left" vertical="top"/>
      <protection locked="0"/>
    </xf>
    <xf numFmtId="0" fontId="20" fillId="0" borderId="0" xfId="0" applyFont="1" applyFill="1" applyBorder="1" applyAlignment="1" applyProtection="1">
      <protection locked="0"/>
    </xf>
    <xf numFmtId="4" fontId="21" fillId="0" borderId="0" xfId="0" applyNumberFormat="1" applyFont="1" applyFill="1" applyBorder="1" applyAlignment="1" applyProtection="1">
      <protection locked="0"/>
    </xf>
    <xf numFmtId="4" fontId="22" fillId="0" borderId="0" xfId="0" applyNumberFormat="1" applyFont="1" applyFill="1" applyBorder="1" applyAlignment="1" applyProtection="1">
      <alignment vertical="top"/>
    </xf>
    <xf numFmtId="3" fontId="9" fillId="0" borderId="10" xfId="1" applyNumberFormat="1" applyFont="1" applyFill="1" applyBorder="1" applyAlignment="1" applyProtection="1">
      <alignment horizontal="left" vertical="center" wrapText="1"/>
      <protection locked="0"/>
    </xf>
    <xf numFmtId="0" fontId="20" fillId="0" borderId="2" xfId="0" applyFont="1" applyFill="1" applyBorder="1" applyAlignment="1" applyProtection="1">
      <alignment horizontal="left" vertical="center" wrapText="1"/>
      <protection locked="0"/>
    </xf>
    <xf numFmtId="0" fontId="20" fillId="0" borderId="2" xfId="0" applyFont="1" applyFill="1" applyBorder="1" applyAlignment="1" applyProtection="1">
      <alignment vertical="center" wrapText="1"/>
      <protection locked="0"/>
    </xf>
    <xf numFmtId="0" fontId="20" fillId="0" borderId="2" xfId="0" applyFont="1" applyFill="1" applyBorder="1" applyAlignment="1" applyProtection="1">
      <alignment horizontal="center" vertical="center" wrapText="1"/>
      <protection locked="0"/>
    </xf>
    <xf numFmtId="4" fontId="20" fillId="0" borderId="2" xfId="0" applyNumberFormat="1" applyFont="1" applyFill="1" applyBorder="1" applyAlignment="1" applyProtection="1">
      <alignment horizontal="right" vertical="center" wrapText="1"/>
      <protection locked="0"/>
    </xf>
    <xf numFmtId="4" fontId="20" fillId="2" borderId="7" xfId="0" applyNumberFormat="1" applyFont="1" applyFill="1" applyBorder="1" applyAlignment="1">
      <alignment horizontal="right" vertical="center" wrapText="1"/>
    </xf>
    <xf numFmtId="4" fontId="20" fillId="2" borderId="2" xfId="0" applyNumberFormat="1" applyFont="1" applyFill="1" applyBorder="1" applyAlignment="1">
      <alignment horizontal="right" vertical="center" wrapText="1"/>
    </xf>
    <xf numFmtId="4" fontId="21" fillId="2" borderId="2" xfId="0" applyNumberFormat="1" applyFont="1" applyFill="1" applyBorder="1" applyAlignment="1">
      <alignment vertical="center" wrapText="1"/>
    </xf>
    <xf numFmtId="4" fontId="22" fillId="0" borderId="2" xfId="0" quotePrefix="1" applyNumberFormat="1" applyFont="1" applyFill="1" applyBorder="1" applyAlignment="1" applyProtection="1">
      <alignment vertical="center" wrapText="1"/>
      <protection locked="0"/>
    </xf>
    <xf numFmtId="4" fontId="12" fillId="0" borderId="11" xfId="0" applyNumberFormat="1" applyFont="1" applyFill="1" applyBorder="1" applyAlignment="1" applyProtection="1">
      <alignment horizontal="left" vertical="center" wrapText="1"/>
      <protection locked="0"/>
    </xf>
    <xf numFmtId="4" fontId="12" fillId="0" borderId="0" xfId="0" applyNumberFormat="1" applyFont="1" applyFill="1" applyBorder="1" applyAlignment="1" applyProtection="1">
      <alignment horizontal="left" vertical="center" wrapText="1"/>
      <protection locked="0"/>
    </xf>
    <xf numFmtId="4" fontId="1" fillId="0" borderId="0" xfId="1" applyNumberFormat="1" applyFill="1" applyBorder="1" applyAlignment="1" applyProtection="1">
      <alignment horizontal="left" vertical="center" wrapText="1"/>
      <protection locked="0"/>
    </xf>
    <xf numFmtId="4" fontId="22" fillId="0" borderId="2" xfId="0" applyNumberFormat="1" applyFont="1" applyFill="1" applyBorder="1" applyAlignment="1" applyProtection="1">
      <alignment vertical="center" wrapText="1"/>
      <protection locked="0"/>
    </xf>
    <xf numFmtId="4" fontId="22" fillId="0" borderId="3" xfId="0" applyNumberFormat="1" applyFont="1" applyFill="1" applyBorder="1" applyAlignment="1" applyProtection="1">
      <alignment horizontal="center" vertical="top" wrapText="1"/>
    </xf>
    <xf numFmtId="4" fontId="22" fillId="0" borderId="3" xfId="0" applyNumberFormat="1" applyFont="1" applyFill="1" applyBorder="1" applyAlignment="1" applyProtection="1">
      <alignment horizontal="center" vertical="top"/>
    </xf>
    <xf numFmtId="4" fontId="22" fillId="0" borderId="3" xfId="0" applyNumberFormat="1" applyFont="1" applyFill="1" applyBorder="1" applyAlignment="1" applyProtection="1">
      <alignment horizontal="center" vertical="top"/>
      <protection locked="0"/>
    </xf>
    <xf numFmtId="0" fontId="27" fillId="0" borderId="0" xfId="0" applyFont="1" applyAlignment="1">
      <alignment vertical="center"/>
    </xf>
    <xf numFmtId="0" fontId="27" fillId="0" borderId="0" xfId="0" applyFont="1" applyAlignment="1">
      <alignment horizontal="center" vertical="center"/>
    </xf>
    <xf numFmtId="0" fontId="27" fillId="0" borderId="0" xfId="0" applyFont="1" applyAlignment="1">
      <alignment horizontal="right" vertical="center"/>
    </xf>
    <xf numFmtId="4" fontId="27" fillId="0" borderId="0" xfId="0" applyNumberFormat="1" applyFont="1" applyAlignment="1">
      <alignment horizontal="right" vertical="center"/>
    </xf>
    <xf numFmtId="0" fontId="27" fillId="0" borderId="2" xfId="0" applyFont="1" applyBorder="1" applyAlignment="1">
      <alignment vertical="center"/>
    </xf>
    <xf numFmtId="0" fontId="6" fillId="0" borderId="0" xfId="0" applyFont="1" applyFill="1" applyBorder="1" applyAlignment="1" applyProtection="1">
      <alignment horizontal="left" vertical="top"/>
      <protection locked="0"/>
    </xf>
    <xf numFmtId="0" fontId="6" fillId="0" borderId="0" xfId="0" applyFont="1" applyFill="1" applyBorder="1" applyAlignment="1" applyProtection="1">
      <alignment vertical="top"/>
      <protection locked="0"/>
    </xf>
    <xf numFmtId="0" fontId="27" fillId="0" borderId="2" xfId="0" applyFont="1" applyBorder="1" applyAlignment="1">
      <alignment horizontal="center" vertical="center"/>
    </xf>
    <xf numFmtId="0" fontId="6" fillId="0" borderId="0" xfId="0" applyFont="1" applyFill="1" applyBorder="1" applyAlignment="1" applyProtection="1">
      <alignment horizontal="center" vertical="top"/>
      <protection locked="0"/>
    </xf>
    <xf numFmtId="0" fontId="27" fillId="0" borderId="2" xfId="0" applyFont="1" applyBorder="1" applyAlignment="1">
      <alignment horizontal="right" vertical="center"/>
    </xf>
    <xf numFmtId="4" fontId="6" fillId="0" borderId="0" xfId="0" applyNumberFormat="1" applyFont="1" applyFill="1" applyBorder="1" applyAlignment="1" applyProtection="1">
      <alignment horizontal="right" vertical="top"/>
      <protection locked="0"/>
    </xf>
    <xf numFmtId="4" fontId="27" fillId="0" borderId="2" xfId="0" applyNumberFormat="1" applyFont="1" applyBorder="1" applyAlignment="1">
      <alignment horizontal="right" vertical="center"/>
    </xf>
    <xf numFmtId="3" fontId="9" fillId="0" borderId="10" xfId="1" applyNumberFormat="1" applyFont="1" applyFill="1" applyBorder="1" applyAlignment="1" applyProtection="1">
      <alignment horizontal="left" vertical="center"/>
      <protection locked="0"/>
    </xf>
    <xf numFmtId="0" fontId="20" fillId="0" borderId="2" xfId="0" applyFont="1" applyFill="1" applyBorder="1" applyAlignment="1" applyProtection="1">
      <alignment vertical="center"/>
    </xf>
    <xf numFmtId="0" fontId="7" fillId="0" borderId="2" xfId="0" applyFont="1" applyFill="1" applyBorder="1" applyAlignment="1" applyProtection="1">
      <alignment vertical="center"/>
    </xf>
    <xf numFmtId="4" fontId="7" fillId="0" borderId="2" xfId="0" applyNumberFormat="1" applyFont="1" applyFill="1" applyBorder="1" applyAlignment="1" applyProtection="1">
      <alignment horizontal="right" vertical="center"/>
    </xf>
    <xf numFmtId="4" fontId="20" fillId="0" borderId="2" xfId="0" applyNumberFormat="1" applyFont="1" applyFill="1" applyBorder="1" applyAlignment="1" applyProtection="1">
      <alignment horizontal="right" vertical="center"/>
    </xf>
    <xf numFmtId="4" fontId="7" fillId="2" borderId="7" xfId="0" applyNumberFormat="1" applyFont="1" applyFill="1" applyBorder="1" applyAlignment="1">
      <alignment horizontal="right" vertical="center"/>
    </xf>
    <xf numFmtId="4" fontId="21" fillId="2" borderId="2" xfId="0" applyNumberFormat="1" applyFont="1" applyFill="1" applyBorder="1" applyAlignment="1">
      <alignment vertical="center"/>
    </xf>
    <xf numFmtId="4" fontId="22" fillId="0" borderId="2" xfId="0" applyNumberFormat="1" applyFont="1" applyFill="1" applyBorder="1" applyAlignment="1" applyProtection="1">
      <alignment horizontal="left" vertical="center"/>
      <protection locked="0"/>
    </xf>
    <xf numFmtId="4" fontId="12" fillId="0" borderId="11" xfId="0" applyNumberFormat="1" applyFont="1" applyFill="1" applyBorder="1" applyAlignment="1" applyProtection="1">
      <alignment horizontal="left" vertical="center"/>
      <protection locked="0"/>
    </xf>
    <xf numFmtId="4" fontId="12" fillId="0" borderId="0" xfId="0" applyNumberFormat="1" applyFont="1" applyFill="1" applyBorder="1" applyAlignment="1" applyProtection="1">
      <alignment horizontal="left" vertical="center"/>
      <protection locked="0"/>
    </xf>
    <xf numFmtId="4" fontId="1" fillId="0" borderId="0" xfId="1" applyNumberFormat="1" applyFill="1" applyAlignment="1" applyProtection="1">
      <alignment horizontal="left" vertical="center"/>
      <protection locked="0"/>
    </xf>
    <xf numFmtId="0" fontId="21" fillId="2" borderId="7" xfId="0" applyFont="1" applyFill="1" applyBorder="1" applyAlignment="1">
      <alignment vertical="center"/>
    </xf>
    <xf numFmtId="0" fontId="21" fillId="2" borderId="2" xfId="0" applyFont="1" applyFill="1" applyBorder="1" applyAlignment="1">
      <alignment vertical="center"/>
    </xf>
    <xf numFmtId="4" fontId="1" fillId="0" borderId="0" xfId="1" applyNumberFormat="1" applyFill="1" applyAlignment="1" applyProtection="1">
      <alignment horizontal="left" vertical="center" wrapText="1"/>
      <protection locked="0"/>
    </xf>
  </cellXfs>
  <cellStyles count="3">
    <cellStyle name="Normal" xfId="0" builtinId="0"/>
    <cellStyle name="Normal 2 2" xfId="1" xr:uid="{00000000-0005-0000-0000-000001000000}"/>
    <cellStyle name="Porcentaje"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510989</xdr:colOff>
      <xdr:row>1</xdr:row>
      <xdr:rowOff>99359</xdr:rowOff>
    </xdr:from>
    <xdr:to>
      <xdr:col>10</xdr:col>
      <xdr:colOff>696633</xdr:colOff>
      <xdr:row>4</xdr:row>
      <xdr:rowOff>44824</xdr:rowOff>
    </xdr:to>
    <xdr:sp macro="[0]!LIMPIAR" textlink="">
      <xdr:nvSpPr>
        <xdr:cNvPr id="2" name="Bisel 1">
          <a:extLst>
            <a:ext uri="{FF2B5EF4-FFF2-40B4-BE49-F238E27FC236}">
              <a16:creationId xmlns:a16="http://schemas.microsoft.com/office/drawing/2014/main" id="{00000000-0008-0000-0000-000002000000}"/>
            </a:ext>
          </a:extLst>
        </xdr:cNvPr>
        <xdr:cNvSpPr/>
      </xdr:nvSpPr>
      <xdr:spPr>
        <a:xfrm>
          <a:off x="8337177" y="269688"/>
          <a:ext cx="1655856" cy="456454"/>
        </a:xfrm>
        <a:prstGeom prst="bevel">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a:latin typeface="Arial Black" panose="020B0A04020102020204" pitchFamily="34" charset="0"/>
            </a:rPr>
            <a:t>LIMPIAR</a:t>
          </a:r>
        </a:p>
      </xdr:txBody>
    </xdr:sp>
    <xdr:clientData/>
  </xdr:twoCellAnchor>
  <xdr:twoCellAnchor>
    <xdr:from>
      <xdr:col>11</xdr:col>
      <xdr:colOff>45694</xdr:colOff>
      <xdr:row>1</xdr:row>
      <xdr:rowOff>100230</xdr:rowOff>
    </xdr:from>
    <xdr:to>
      <xdr:col>14</xdr:col>
      <xdr:colOff>4232</xdr:colOff>
      <xdr:row>4</xdr:row>
      <xdr:rowOff>46317</xdr:rowOff>
    </xdr:to>
    <xdr:sp macro="[0]!REPORTE" textlink="">
      <xdr:nvSpPr>
        <xdr:cNvPr id="3" name="Bisel 2">
          <a:extLst>
            <a:ext uri="{FF2B5EF4-FFF2-40B4-BE49-F238E27FC236}">
              <a16:creationId xmlns:a16="http://schemas.microsoft.com/office/drawing/2014/main" id="{00000000-0008-0000-0000-000003000000}"/>
            </a:ext>
          </a:extLst>
        </xdr:cNvPr>
        <xdr:cNvSpPr/>
      </xdr:nvSpPr>
      <xdr:spPr>
        <a:xfrm>
          <a:off x="10077200" y="270559"/>
          <a:ext cx="2163856" cy="457076"/>
        </a:xfrm>
        <a:prstGeom prst="bevel">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a:latin typeface="Arial Black" panose="020B0A04020102020204" pitchFamily="34" charset="0"/>
            </a:rPr>
            <a:t>OBTENER REPORTE</a:t>
          </a:r>
        </a:p>
      </xdr:txBody>
    </xdr:sp>
    <xdr:clientData/>
  </xdr:twoCellAnchor>
  <xdr:twoCellAnchor editAs="oneCell">
    <xdr:from>
      <xdr:col>1</xdr:col>
      <xdr:colOff>62752</xdr:colOff>
      <xdr:row>0</xdr:row>
      <xdr:rowOff>0</xdr:rowOff>
    </xdr:from>
    <xdr:to>
      <xdr:col>2</xdr:col>
      <xdr:colOff>519311</xdr:colOff>
      <xdr:row>4</xdr:row>
      <xdr:rowOff>12729</xdr:rowOff>
    </xdr:to>
    <xdr:pic>
      <xdr:nvPicPr>
        <xdr:cNvPr id="4" name="Imagen 3" descr="Sodexo - Wikipedia, la enciclopedia libre">
          <a:extLst>
            <a:ext uri="{FF2B5EF4-FFF2-40B4-BE49-F238E27FC236}">
              <a16:creationId xmlns:a16="http://schemas.microsoft.com/office/drawing/2014/main" id="{B2A36A50-90EE-4DC1-BFC4-3BC4555EC0F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2728" y="0"/>
          <a:ext cx="1774371" cy="6940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6:Q1055"/>
  <sheetViews>
    <sheetView showGridLines="0" zoomScale="90" zoomScaleNormal="90" workbookViewId="0">
      <selection activeCell="B7" sqref="B7:N1052"/>
    </sheetView>
  </sheetViews>
  <sheetFormatPr baseColWidth="10" defaultColWidth="9.28515625" defaultRowHeight="12.75" x14ac:dyDescent="0.2"/>
  <cols>
    <col min="1" max="1" width="3.7109375" style="2" customWidth="1"/>
    <col min="2" max="2" width="19.28515625" style="3" customWidth="1"/>
    <col min="3" max="3" width="65.140625" style="3" customWidth="1"/>
    <col min="4" max="4" width="7.42578125" style="3" customWidth="1"/>
    <col min="5" max="5" width="8.42578125" style="3" customWidth="1"/>
    <col min="6" max="6" width="10.7109375" style="3" customWidth="1"/>
    <col min="7" max="7" width="11.5703125" style="3" customWidth="1"/>
    <col min="8" max="13" width="10.7109375" style="3" customWidth="1"/>
    <col min="14" max="14" width="10.7109375" style="4" customWidth="1"/>
    <col min="15" max="15" width="10.28515625" style="18" customWidth="1"/>
    <col min="16" max="17" width="6.140625" style="18" hidden="1" customWidth="1"/>
    <col min="18" max="16384" width="9.28515625" style="6"/>
  </cols>
  <sheetData>
    <row r="6" spans="2:17" ht="25.5" x14ac:dyDescent="0.2">
      <c r="B6" s="53" t="s">
        <v>1</v>
      </c>
      <c r="C6" s="54" t="s">
        <v>9</v>
      </c>
      <c r="D6" s="53" t="s">
        <v>10</v>
      </c>
      <c r="E6" s="53" t="s">
        <v>11</v>
      </c>
      <c r="F6" s="55" t="s">
        <v>12</v>
      </c>
      <c r="G6" s="53" t="s">
        <v>13</v>
      </c>
      <c r="H6" s="53" t="s">
        <v>14</v>
      </c>
      <c r="I6" s="53" t="s">
        <v>15</v>
      </c>
      <c r="J6" s="53" t="s">
        <v>16</v>
      </c>
      <c r="K6" s="53" t="s">
        <v>17</v>
      </c>
      <c r="L6" s="56" t="s">
        <v>2</v>
      </c>
      <c r="M6" s="56" t="s">
        <v>3</v>
      </c>
      <c r="N6" s="57" t="s">
        <v>4</v>
      </c>
      <c r="Q6" s="17"/>
    </row>
    <row r="7" spans="2:17" x14ac:dyDescent="0.2">
      <c r="B7" s="153">
        <v>40104041508</v>
      </c>
      <c r="C7" s="153" t="s">
        <v>333</v>
      </c>
      <c r="D7" s="156" t="s">
        <v>51</v>
      </c>
      <c r="E7" s="158">
        <v>18.239999999999998</v>
      </c>
      <c r="F7" s="158">
        <v>75</v>
      </c>
      <c r="G7" s="160">
        <v>1368</v>
      </c>
      <c r="H7" s="158">
        <v>80</v>
      </c>
      <c r="I7" s="160">
        <v>1459.2</v>
      </c>
      <c r="J7" s="158">
        <v>-5</v>
      </c>
      <c r="K7" s="158">
        <v>-91.2</v>
      </c>
      <c r="L7" s="58">
        <f>IF(K7&gt;=0,K7,0)</f>
        <v>0</v>
      </c>
      <c r="M7" s="58">
        <f>IF(K7&lt;=0,K7,0)</f>
        <v>-91.2</v>
      </c>
      <c r="N7" s="58">
        <f>L7+-M7</f>
        <v>91.2</v>
      </c>
      <c r="O7" s="19"/>
      <c r="P7" s="19">
        <f t="shared" ref="P7:P38" si="0">N7/$N$1055</f>
        <v>8.9719587773713042E-2</v>
      </c>
      <c r="Q7" s="19">
        <f t="shared" ref="Q7:Q38" si="1">P7+Q6</f>
        <v>8.9719587773713042E-2</v>
      </c>
    </row>
    <row r="8" spans="2:17" x14ac:dyDescent="0.2">
      <c r="B8" s="149">
        <v>102020062</v>
      </c>
      <c r="C8" s="149" t="s">
        <v>121</v>
      </c>
      <c r="D8" s="150" t="s">
        <v>51</v>
      </c>
      <c r="E8" s="151">
        <v>4.17</v>
      </c>
      <c r="F8" s="151">
        <v>25</v>
      </c>
      <c r="G8" s="151">
        <v>104.25</v>
      </c>
      <c r="H8" s="151">
        <v>43.61</v>
      </c>
      <c r="I8" s="151">
        <v>181.8537</v>
      </c>
      <c r="J8" s="151">
        <v>-18.61</v>
      </c>
      <c r="K8" s="151">
        <v>-77.603700000000003</v>
      </c>
      <c r="L8" s="58">
        <f>IF(K8&gt;=0,K8,0)</f>
        <v>0</v>
      </c>
      <c r="M8" s="58">
        <f>IF(K8&lt;=0,K8,0)</f>
        <v>-77.603700000000003</v>
      </c>
      <c r="N8" s="58">
        <f>L8+-M8</f>
        <v>77.603700000000003</v>
      </c>
      <c r="O8" s="19"/>
      <c r="P8" s="19">
        <f t="shared" si="0"/>
        <v>7.6343990939856304E-2</v>
      </c>
      <c r="Q8" s="19">
        <f t="shared" si="1"/>
        <v>0.16606357871356936</v>
      </c>
    </row>
    <row r="9" spans="2:17" x14ac:dyDescent="0.2">
      <c r="B9" s="149">
        <v>1020234853</v>
      </c>
      <c r="C9" s="149" t="s">
        <v>372</v>
      </c>
      <c r="D9" s="150" t="s">
        <v>54</v>
      </c>
      <c r="E9" s="151">
        <v>8.8708939999999998</v>
      </c>
      <c r="F9" s="151">
        <v>54</v>
      </c>
      <c r="G9" s="151">
        <v>479.02827600000001</v>
      </c>
      <c r="H9" s="151">
        <v>62</v>
      </c>
      <c r="I9" s="151">
        <v>549.99542799999995</v>
      </c>
      <c r="J9" s="151">
        <v>-8</v>
      </c>
      <c r="K9" s="151">
        <v>-70.967151999999999</v>
      </c>
      <c r="L9" s="58">
        <f>IF(K9&gt;=0,K9,0)</f>
        <v>0</v>
      </c>
      <c r="M9" s="58">
        <f>IF(K9&lt;=0,K9,0)</f>
        <v>-70.967151999999999</v>
      </c>
      <c r="N9" s="58">
        <f>L9+-M9</f>
        <v>70.967151999999999</v>
      </c>
      <c r="O9" s="19"/>
      <c r="P9" s="19">
        <f t="shared" si="0"/>
        <v>6.9815171303886342E-2</v>
      </c>
      <c r="Q9" s="19">
        <f t="shared" si="1"/>
        <v>0.2358787500174557</v>
      </c>
    </row>
    <row r="10" spans="2:17" x14ac:dyDescent="0.2">
      <c r="B10" s="149">
        <v>102020017</v>
      </c>
      <c r="C10" s="149" t="s">
        <v>209</v>
      </c>
      <c r="D10" s="150" t="s">
        <v>51</v>
      </c>
      <c r="E10" s="151">
        <v>5</v>
      </c>
      <c r="F10" s="151">
        <v>11</v>
      </c>
      <c r="G10" s="151">
        <v>55</v>
      </c>
      <c r="H10" s="151">
        <v>25</v>
      </c>
      <c r="I10" s="151">
        <v>125</v>
      </c>
      <c r="J10" s="151">
        <v>-14</v>
      </c>
      <c r="K10" s="151">
        <v>-70</v>
      </c>
      <c r="L10" s="58">
        <f>IF(K10&gt;=0,K10,0)</f>
        <v>0</v>
      </c>
      <c r="M10" s="58">
        <f>IF(K10&lt;=0,K10,0)</f>
        <v>-70</v>
      </c>
      <c r="N10" s="58">
        <f>L10+-M10</f>
        <v>70</v>
      </c>
      <c r="O10" s="19"/>
      <c r="P10" s="19">
        <f t="shared" si="0"/>
        <v>6.8863718685963957E-2</v>
      </c>
      <c r="Q10" s="19">
        <f t="shared" si="1"/>
        <v>0.30474246870341964</v>
      </c>
    </row>
    <row r="11" spans="2:17" x14ac:dyDescent="0.2">
      <c r="B11" s="149">
        <v>1010627003</v>
      </c>
      <c r="C11" s="149" t="s">
        <v>99</v>
      </c>
      <c r="D11" s="150" t="s">
        <v>54</v>
      </c>
      <c r="E11" s="151">
        <v>67.78</v>
      </c>
      <c r="F11" s="151">
        <v>13</v>
      </c>
      <c r="G11" s="151">
        <v>881.14</v>
      </c>
      <c r="H11" s="151">
        <v>14</v>
      </c>
      <c r="I11" s="151">
        <v>948.92</v>
      </c>
      <c r="J11" s="151">
        <v>-1</v>
      </c>
      <c r="K11" s="151">
        <v>-67.78</v>
      </c>
      <c r="L11" s="58">
        <f>IF(K11&gt;=0,K11,0)</f>
        <v>0</v>
      </c>
      <c r="M11" s="58">
        <f>IF(K11&lt;=0,K11,0)</f>
        <v>-67.78</v>
      </c>
      <c r="N11" s="58">
        <f>L11+-M11</f>
        <v>67.78</v>
      </c>
      <c r="O11" s="19"/>
      <c r="P11" s="19">
        <f t="shared" si="0"/>
        <v>6.6679755036209098E-2</v>
      </c>
      <c r="Q11" s="19">
        <f t="shared" si="1"/>
        <v>0.37142222373962874</v>
      </c>
    </row>
    <row r="12" spans="2:17" x14ac:dyDescent="0.2">
      <c r="B12" s="149">
        <v>10208043257</v>
      </c>
      <c r="C12" s="149" t="s">
        <v>321</v>
      </c>
      <c r="D12" s="150" t="s">
        <v>54</v>
      </c>
      <c r="E12" s="151">
        <v>20.78</v>
      </c>
      <c r="F12" s="151">
        <v>38</v>
      </c>
      <c r="G12" s="151">
        <v>789.64</v>
      </c>
      <c r="H12" s="151">
        <v>35</v>
      </c>
      <c r="I12" s="151">
        <v>727.3</v>
      </c>
      <c r="J12" s="151">
        <v>3</v>
      </c>
      <c r="K12" s="151">
        <v>62.34</v>
      </c>
      <c r="L12" s="58">
        <f>IF(K12&gt;=0,K12,0)</f>
        <v>62.34</v>
      </c>
      <c r="M12" s="58">
        <f>IF(K12&lt;=0,K12,0)</f>
        <v>0</v>
      </c>
      <c r="N12" s="58">
        <f>L12+-M12</f>
        <v>62.34</v>
      </c>
      <c r="O12" s="19"/>
      <c r="P12" s="19">
        <f t="shared" si="0"/>
        <v>6.1328060326899907E-2</v>
      </c>
      <c r="Q12" s="19">
        <f t="shared" si="1"/>
        <v>0.43275028406652866</v>
      </c>
    </row>
    <row r="13" spans="2:17" x14ac:dyDescent="0.2">
      <c r="B13" s="149">
        <v>10105042270</v>
      </c>
      <c r="C13" s="149" t="s">
        <v>284</v>
      </c>
      <c r="D13" s="150" t="s">
        <v>65</v>
      </c>
      <c r="E13" s="151">
        <v>4.5529999999999999</v>
      </c>
      <c r="F13" s="151">
        <v>202</v>
      </c>
      <c r="G13" s="151">
        <v>919.70600000000002</v>
      </c>
      <c r="H13" s="151">
        <v>189</v>
      </c>
      <c r="I13" s="151">
        <v>860.51700000000005</v>
      </c>
      <c r="J13" s="151">
        <v>13</v>
      </c>
      <c r="K13" s="151">
        <v>59.189</v>
      </c>
      <c r="L13" s="58">
        <f>IF(K13&gt;=0,K13,0)</f>
        <v>59.189</v>
      </c>
      <c r="M13" s="58">
        <f>IF(K13&lt;=0,K13,0)</f>
        <v>0</v>
      </c>
      <c r="N13" s="58">
        <f>L13+-M13</f>
        <v>59.189</v>
      </c>
      <c r="O13" s="19"/>
      <c r="P13" s="19">
        <f t="shared" si="0"/>
        <v>5.8228209218621721E-2</v>
      </c>
      <c r="Q13" s="19">
        <f t="shared" si="1"/>
        <v>0.49097849328515036</v>
      </c>
    </row>
    <row r="14" spans="2:17" x14ac:dyDescent="0.2">
      <c r="B14" s="149">
        <v>1020137022</v>
      </c>
      <c r="C14" s="149" t="s">
        <v>126</v>
      </c>
      <c r="D14" s="150" t="s">
        <v>127</v>
      </c>
      <c r="E14" s="151">
        <v>0.26</v>
      </c>
      <c r="F14" s="152">
        <v>2800</v>
      </c>
      <c r="G14" s="151">
        <v>728</v>
      </c>
      <c r="H14" s="152">
        <v>3000</v>
      </c>
      <c r="I14" s="151">
        <v>780</v>
      </c>
      <c r="J14" s="151">
        <v>-200</v>
      </c>
      <c r="K14" s="151">
        <v>-52</v>
      </c>
      <c r="L14" s="58">
        <f>IF(K14&gt;=0,K14,0)</f>
        <v>0</v>
      </c>
      <c r="M14" s="58">
        <f>IF(K14&lt;=0,K14,0)</f>
        <v>-52</v>
      </c>
      <c r="N14" s="58">
        <f>L14+-M14</f>
        <v>52</v>
      </c>
      <c r="O14" s="19"/>
      <c r="P14" s="19">
        <f t="shared" si="0"/>
        <v>5.1155905309573223E-2</v>
      </c>
      <c r="Q14" s="19">
        <f t="shared" si="1"/>
        <v>0.54213439859472357</v>
      </c>
    </row>
    <row r="15" spans="2:17" x14ac:dyDescent="0.2">
      <c r="B15" s="149">
        <v>10208037854</v>
      </c>
      <c r="C15" s="149" t="s">
        <v>60</v>
      </c>
      <c r="D15" s="150" t="s">
        <v>54</v>
      </c>
      <c r="E15" s="151">
        <v>9.5499989999999997</v>
      </c>
      <c r="F15" s="151">
        <v>18</v>
      </c>
      <c r="G15" s="151">
        <v>171.89998199999999</v>
      </c>
      <c r="H15" s="151">
        <v>14</v>
      </c>
      <c r="I15" s="151">
        <v>133.699986</v>
      </c>
      <c r="J15" s="151">
        <v>4</v>
      </c>
      <c r="K15" s="151">
        <v>38.199995999999999</v>
      </c>
      <c r="L15" s="58">
        <f>IF(K15&gt;=0,K15,0)</f>
        <v>38.199995999999999</v>
      </c>
      <c r="M15" s="58">
        <f>IF(K15&lt;=0,K15,0)</f>
        <v>0</v>
      </c>
      <c r="N15" s="58">
        <f>L15+-M15</f>
        <v>38.199995999999999</v>
      </c>
      <c r="O15" s="19"/>
      <c r="P15" s="19">
        <f t="shared" si="0"/>
        <v>3.7579911119270691E-2</v>
      </c>
      <c r="Q15" s="19">
        <f t="shared" si="1"/>
        <v>0.57971430971399429</v>
      </c>
    </row>
    <row r="16" spans="2:17" x14ac:dyDescent="0.2">
      <c r="B16" s="149">
        <v>40108037515</v>
      </c>
      <c r="C16" s="149" t="s">
        <v>400</v>
      </c>
      <c r="D16" s="150" t="s">
        <v>51</v>
      </c>
      <c r="E16" s="151">
        <v>25.989974</v>
      </c>
      <c r="F16" s="151">
        <v>234</v>
      </c>
      <c r="G16" s="152">
        <v>6081.6539160000002</v>
      </c>
      <c r="H16" s="151">
        <v>235.36500000000001</v>
      </c>
      <c r="I16" s="152">
        <v>6117.1302310000001</v>
      </c>
      <c r="J16" s="151">
        <v>-1.365</v>
      </c>
      <c r="K16" s="151">
        <v>-35.476315</v>
      </c>
      <c r="L16" s="58">
        <f>IF(K16&gt;=0,K16,0)</f>
        <v>0</v>
      </c>
      <c r="M16" s="58">
        <f>IF(K16&lt;=0,K16,0)</f>
        <v>-35.476315</v>
      </c>
      <c r="N16" s="58">
        <f>L16+-M16</f>
        <v>35.476315</v>
      </c>
      <c r="O16" s="19"/>
      <c r="P16" s="19">
        <f t="shared" si="0"/>
        <v>3.4900442516780622E-2</v>
      </c>
      <c r="Q16" s="19">
        <f t="shared" si="1"/>
        <v>0.61461475223077489</v>
      </c>
    </row>
    <row r="17" spans="2:17" x14ac:dyDescent="0.2">
      <c r="B17" s="149">
        <v>102010027</v>
      </c>
      <c r="C17" s="149" t="s">
        <v>168</v>
      </c>
      <c r="D17" s="150" t="s">
        <v>51</v>
      </c>
      <c r="E17" s="151">
        <v>4.3</v>
      </c>
      <c r="F17" s="151">
        <v>90.9</v>
      </c>
      <c r="G17" s="151">
        <v>390.87</v>
      </c>
      <c r="H17" s="151">
        <v>82.9</v>
      </c>
      <c r="I17" s="151">
        <v>356.47</v>
      </c>
      <c r="J17" s="151">
        <v>8</v>
      </c>
      <c r="K17" s="151">
        <v>34.4</v>
      </c>
      <c r="L17" s="58">
        <f>IF(K17&gt;=0,K17,0)</f>
        <v>34.4</v>
      </c>
      <c r="M17" s="58">
        <f>IF(K17&lt;=0,K17,0)</f>
        <v>0</v>
      </c>
      <c r="N17" s="58">
        <f>L17+-M17</f>
        <v>34.4</v>
      </c>
      <c r="O17" s="19"/>
      <c r="P17" s="19">
        <f t="shared" si="0"/>
        <v>3.3841598897102289E-2</v>
      </c>
      <c r="Q17" s="19">
        <f t="shared" si="1"/>
        <v>0.64845635112787714</v>
      </c>
    </row>
    <row r="18" spans="2:17" x14ac:dyDescent="0.2">
      <c r="B18" s="149">
        <v>1020132345</v>
      </c>
      <c r="C18" s="149" t="s">
        <v>108</v>
      </c>
      <c r="D18" s="150" t="s">
        <v>54</v>
      </c>
      <c r="E18" s="151">
        <v>1.84</v>
      </c>
      <c r="F18" s="151">
        <v>23</v>
      </c>
      <c r="G18" s="151">
        <v>42.32</v>
      </c>
      <c r="H18" s="151">
        <v>39</v>
      </c>
      <c r="I18" s="151">
        <v>71.760000000000005</v>
      </c>
      <c r="J18" s="151">
        <v>-16</v>
      </c>
      <c r="K18" s="151">
        <v>-29.44</v>
      </c>
      <c r="L18" s="58">
        <f>IF(K18&gt;=0,K18,0)</f>
        <v>0</v>
      </c>
      <c r="M18" s="58">
        <f>IF(K18&lt;=0,K18,0)</f>
        <v>-29.44</v>
      </c>
      <c r="N18" s="58">
        <f>L18+-M18</f>
        <v>29.44</v>
      </c>
      <c r="O18" s="19"/>
      <c r="P18" s="19">
        <f t="shared" si="0"/>
        <v>2.8962112544496842E-2</v>
      </c>
      <c r="Q18" s="19">
        <f t="shared" si="1"/>
        <v>0.67741846367237402</v>
      </c>
    </row>
    <row r="19" spans="2:17" x14ac:dyDescent="0.2">
      <c r="B19" s="149">
        <v>10204041046</v>
      </c>
      <c r="C19" s="149" t="s">
        <v>254</v>
      </c>
      <c r="D19" s="150" t="s">
        <v>59</v>
      </c>
      <c r="E19" s="151">
        <v>6.67</v>
      </c>
      <c r="F19" s="151">
        <v>29</v>
      </c>
      <c r="G19" s="151">
        <v>193.43</v>
      </c>
      <c r="H19" s="151">
        <v>25</v>
      </c>
      <c r="I19" s="151">
        <v>166.75</v>
      </c>
      <c r="J19" s="151">
        <v>4</v>
      </c>
      <c r="K19" s="151">
        <v>26.68</v>
      </c>
      <c r="L19" s="58">
        <f>IF(K19&gt;=0,K19,0)</f>
        <v>26.68</v>
      </c>
      <c r="M19" s="58">
        <f>IF(K19&lt;=0,K19,0)</f>
        <v>0</v>
      </c>
      <c r="N19" s="58">
        <f>L19+-M19</f>
        <v>26.68</v>
      </c>
      <c r="O19" s="19"/>
      <c r="P19" s="19">
        <f t="shared" si="0"/>
        <v>2.6246914493450263E-2</v>
      </c>
      <c r="Q19" s="19">
        <f t="shared" si="1"/>
        <v>0.70366537816582431</v>
      </c>
    </row>
    <row r="20" spans="2:17" x14ac:dyDescent="0.2">
      <c r="B20" s="149">
        <v>1020233297</v>
      </c>
      <c r="C20" s="149" t="s">
        <v>334</v>
      </c>
      <c r="D20" s="150" t="s">
        <v>54</v>
      </c>
      <c r="E20" s="151">
        <v>12.2</v>
      </c>
      <c r="F20" s="151">
        <v>66</v>
      </c>
      <c r="G20" s="151">
        <v>805.2</v>
      </c>
      <c r="H20" s="151">
        <v>64</v>
      </c>
      <c r="I20" s="151">
        <v>780.8</v>
      </c>
      <c r="J20" s="151">
        <v>2</v>
      </c>
      <c r="K20" s="151">
        <v>24.4</v>
      </c>
      <c r="L20" s="58">
        <f>IF(K20&gt;=0,K20,0)</f>
        <v>24.4</v>
      </c>
      <c r="M20" s="58">
        <f>IF(K20&lt;=0,K20,0)</f>
        <v>0</v>
      </c>
      <c r="N20" s="58">
        <f>L20+-M20</f>
        <v>24.4</v>
      </c>
      <c r="O20" s="19"/>
      <c r="P20" s="19">
        <f t="shared" si="0"/>
        <v>2.4003924799107436E-2</v>
      </c>
      <c r="Q20" s="19">
        <f t="shared" si="1"/>
        <v>0.72766930296493171</v>
      </c>
    </row>
    <row r="21" spans="2:17" x14ac:dyDescent="0.2">
      <c r="B21" s="149">
        <v>70046</v>
      </c>
      <c r="C21" s="149" t="s">
        <v>116</v>
      </c>
      <c r="D21" s="150" t="s">
        <v>51</v>
      </c>
      <c r="E21" s="151">
        <v>5.12</v>
      </c>
      <c r="F21" s="151">
        <v>105</v>
      </c>
      <c r="G21" s="151">
        <v>537.6</v>
      </c>
      <c r="H21" s="151">
        <v>100.5</v>
      </c>
      <c r="I21" s="151">
        <v>514.55999999999995</v>
      </c>
      <c r="J21" s="151">
        <v>4.5</v>
      </c>
      <c r="K21" s="151">
        <v>23.04</v>
      </c>
      <c r="L21" s="58">
        <f>IF(K21&gt;=0,K21,0)</f>
        <v>23.04</v>
      </c>
      <c r="M21" s="58">
        <f>IF(K21&lt;=0,K21,0)</f>
        <v>0</v>
      </c>
      <c r="N21" s="58">
        <f>L21+-M21</f>
        <v>23.04</v>
      </c>
      <c r="O21" s="19"/>
      <c r="P21" s="19">
        <f t="shared" si="0"/>
        <v>2.2666001121780136E-2</v>
      </c>
      <c r="Q21" s="19">
        <f t="shared" si="1"/>
        <v>0.7503353040867119</v>
      </c>
    </row>
    <row r="22" spans="2:17" x14ac:dyDescent="0.2">
      <c r="B22" s="149">
        <v>5060333619</v>
      </c>
      <c r="C22" s="149" t="s">
        <v>421</v>
      </c>
      <c r="D22" s="150" t="s">
        <v>48</v>
      </c>
      <c r="E22" s="151">
        <v>22.9</v>
      </c>
      <c r="F22" s="151">
        <v>3</v>
      </c>
      <c r="G22" s="151">
        <v>68.7</v>
      </c>
      <c r="H22" s="151">
        <v>2</v>
      </c>
      <c r="I22" s="151">
        <v>45.8</v>
      </c>
      <c r="J22" s="151">
        <v>1</v>
      </c>
      <c r="K22" s="151">
        <v>22.9</v>
      </c>
      <c r="L22" s="58">
        <f>IF(K22&gt;=0,K22,0)</f>
        <v>22.9</v>
      </c>
      <c r="M22" s="58">
        <f>IF(K22&lt;=0,K22,0)</f>
        <v>0</v>
      </c>
      <c r="N22" s="58">
        <f>L22+-M22</f>
        <v>22.9</v>
      </c>
      <c r="O22" s="19"/>
      <c r="P22" s="19">
        <f t="shared" si="0"/>
        <v>2.2528273684408209E-2</v>
      </c>
      <c r="Q22" s="19">
        <f t="shared" si="1"/>
        <v>0.77286357777112014</v>
      </c>
    </row>
    <row r="23" spans="2:17" x14ac:dyDescent="0.2">
      <c r="B23" s="149">
        <v>101010247</v>
      </c>
      <c r="C23" s="149" t="s">
        <v>79</v>
      </c>
      <c r="D23" s="150" t="s">
        <v>59</v>
      </c>
      <c r="E23" s="151">
        <v>11.164</v>
      </c>
      <c r="F23" s="151">
        <v>19</v>
      </c>
      <c r="G23" s="151">
        <v>212.11600000000001</v>
      </c>
      <c r="H23" s="151">
        <v>17</v>
      </c>
      <c r="I23" s="151">
        <v>189.78800000000001</v>
      </c>
      <c r="J23" s="151">
        <v>2</v>
      </c>
      <c r="K23" s="151">
        <v>22.327999999999999</v>
      </c>
      <c r="L23" s="58">
        <f>IF(K23&gt;=0,K23,0)</f>
        <v>22.327999999999999</v>
      </c>
      <c r="M23" s="58">
        <f>IF(K23&lt;=0,K23,0)</f>
        <v>0</v>
      </c>
      <c r="N23" s="58">
        <f>L23+-M23</f>
        <v>22.327999999999999</v>
      </c>
      <c r="O23" s="19"/>
      <c r="P23" s="19">
        <f t="shared" si="0"/>
        <v>2.1965558726002903E-2</v>
      </c>
      <c r="Q23" s="19">
        <f t="shared" si="1"/>
        <v>0.79482913649712306</v>
      </c>
    </row>
    <row r="24" spans="2:17" x14ac:dyDescent="0.2">
      <c r="B24" s="149">
        <v>40108037514</v>
      </c>
      <c r="C24" s="149" t="s">
        <v>399</v>
      </c>
      <c r="D24" s="150" t="s">
        <v>51</v>
      </c>
      <c r="E24" s="151">
        <v>31.38</v>
      </c>
      <c r="F24" s="151">
        <v>171.95</v>
      </c>
      <c r="G24" s="152">
        <v>5395.7910000000002</v>
      </c>
      <c r="H24" s="151">
        <v>171.25</v>
      </c>
      <c r="I24" s="152">
        <v>5373.8249999999998</v>
      </c>
      <c r="J24" s="151">
        <v>0.7</v>
      </c>
      <c r="K24" s="151">
        <v>21.966000000000001</v>
      </c>
      <c r="L24" s="58">
        <f>IF(K24&gt;=0,K24,0)</f>
        <v>21.966000000000001</v>
      </c>
      <c r="M24" s="58">
        <f>IF(K24&lt;=0,K24,0)</f>
        <v>0</v>
      </c>
      <c r="N24" s="58">
        <f>L24+-M24</f>
        <v>21.966000000000001</v>
      </c>
      <c r="O24" s="19"/>
      <c r="P24" s="19">
        <f t="shared" si="0"/>
        <v>2.1609434923655489E-2</v>
      </c>
      <c r="Q24" s="19">
        <f t="shared" si="1"/>
        <v>0.81643857142077858</v>
      </c>
    </row>
    <row r="25" spans="2:17" x14ac:dyDescent="0.2">
      <c r="B25" s="149">
        <v>10208043200</v>
      </c>
      <c r="C25" s="149" t="s">
        <v>320</v>
      </c>
      <c r="D25" s="150" t="s">
        <v>54</v>
      </c>
      <c r="E25" s="151">
        <v>20.78</v>
      </c>
      <c r="F25" s="151">
        <v>12</v>
      </c>
      <c r="G25" s="151">
        <v>249.36</v>
      </c>
      <c r="H25" s="151">
        <v>11</v>
      </c>
      <c r="I25" s="151">
        <v>228.58</v>
      </c>
      <c r="J25" s="151">
        <v>1</v>
      </c>
      <c r="K25" s="151">
        <v>20.78</v>
      </c>
      <c r="L25" s="58">
        <f>IF(K25&gt;=0,K25,0)</f>
        <v>20.78</v>
      </c>
      <c r="M25" s="58">
        <f>IF(K25&lt;=0,K25,0)</f>
        <v>0</v>
      </c>
      <c r="N25" s="58">
        <f>L25+-M25</f>
        <v>20.78</v>
      </c>
      <c r="O25" s="19"/>
      <c r="P25" s="19">
        <f t="shared" si="0"/>
        <v>2.0442686775633302E-2</v>
      </c>
      <c r="Q25" s="19">
        <f t="shared" si="1"/>
        <v>0.8368812581964119</v>
      </c>
    </row>
    <row r="26" spans="2:17" x14ac:dyDescent="0.2">
      <c r="B26" s="149">
        <v>4020131181</v>
      </c>
      <c r="C26" s="149" t="s">
        <v>104</v>
      </c>
      <c r="D26" s="150" t="s">
        <v>51</v>
      </c>
      <c r="E26" s="151">
        <v>10.215999999999999</v>
      </c>
      <c r="F26" s="151">
        <v>105</v>
      </c>
      <c r="G26" s="152">
        <v>1072.68</v>
      </c>
      <c r="H26" s="151">
        <v>103</v>
      </c>
      <c r="I26" s="152">
        <v>1052.248</v>
      </c>
      <c r="J26" s="151">
        <v>2</v>
      </c>
      <c r="K26" s="151">
        <v>20.431999999999999</v>
      </c>
      <c r="L26" s="58">
        <f>IF(K26&gt;=0,K26,0)</f>
        <v>20.431999999999999</v>
      </c>
      <c r="M26" s="58">
        <f>IF(K26&lt;=0,K26,0)</f>
        <v>0</v>
      </c>
      <c r="N26" s="58">
        <f>L26+-M26</f>
        <v>20.431999999999999</v>
      </c>
      <c r="O26" s="19"/>
      <c r="P26" s="19">
        <f t="shared" si="0"/>
        <v>2.0100335717023077E-2</v>
      </c>
      <c r="Q26" s="19">
        <f t="shared" si="1"/>
        <v>0.85698159391343498</v>
      </c>
    </row>
    <row r="27" spans="2:17" x14ac:dyDescent="0.2">
      <c r="B27" s="149">
        <v>10203037848</v>
      </c>
      <c r="C27" s="149" t="s">
        <v>200</v>
      </c>
      <c r="D27" s="150" t="s">
        <v>65</v>
      </c>
      <c r="E27" s="151">
        <v>0.48399999999999999</v>
      </c>
      <c r="F27" s="151">
        <v>164</v>
      </c>
      <c r="G27" s="151">
        <v>79.376000000000005</v>
      </c>
      <c r="H27" s="151">
        <v>123</v>
      </c>
      <c r="I27" s="151">
        <v>59.531999999999996</v>
      </c>
      <c r="J27" s="151">
        <v>41</v>
      </c>
      <c r="K27" s="151">
        <v>19.844000000000001</v>
      </c>
      <c r="L27" s="58">
        <f>IF(K27&gt;=0,K27,0)</f>
        <v>19.844000000000001</v>
      </c>
      <c r="M27" s="58">
        <f>IF(K27&lt;=0,K27,0)</f>
        <v>0</v>
      </c>
      <c r="N27" s="58">
        <f>L27+-M27</f>
        <v>19.844000000000001</v>
      </c>
      <c r="O27" s="19"/>
      <c r="P27" s="19">
        <f t="shared" si="0"/>
        <v>1.9521880480060982E-2</v>
      </c>
      <c r="Q27" s="19">
        <f t="shared" si="1"/>
        <v>0.87650347439349596</v>
      </c>
    </row>
    <row r="28" spans="2:17" x14ac:dyDescent="0.2">
      <c r="B28" s="149">
        <v>10107039479</v>
      </c>
      <c r="C28" s="149" t="s">
        <v>115</v>
      </c>
      <c r="D28" s="150" t="s">
        <v>54</v>
      </c>
      <c r="E28" s="151">
        <v>5.69</v>
      </c>
      <c r="F28" s="151">
        <v>448</v>
      </c>
      <c r="G28" s="152">
        <v>2549.12</v>
      </c>
      <c r="H28" s="151">
        <v>445</v>
      </c>
      <c r="I28" s="152">
        <v>2532.0500000000002</v>
      </c>
      <c r="J28" s="151">
        <v>3</v>
      </c>
      <c r="K28" s="151">
        <v>17.07</v>
      </c>
      <c r="L28" s="58">
        <f>IF(K28&gt;=0,K28,0)</f>
        <v>17.07</v>
      </c>
      <c r="M28" s="58">
        <f>IF(K28&lt;=0,K28,0)</f>
        <v>0</v>
      </c>
      <c r="N28" s="58">
        <f>L28+-M28</f>
        <v>17.07</v>
      </c>
      <c r="O28" s="19"/>
      <c r="P28" s="19">
        <f t="shared" si="0"/>
        <v>1.6792909685277212E-2</v>
      </c>
      <c r="Q28" s="19">
        <f t="shared" si="1"/>
        <v>0.89329638407877321</v>
      </c>
    </row>
    <row r="29" spans="2:17" x14ac:dyDescent="0.2">
      <c r="B29" s="149">
        <v>10201041333</v>
      </c>
      <c r="C29" s="149" t="s">
        <v>251</v>
      </c>
      <c r="D29" s="150" t="s">
        <v>58</v>
      </c>
      <c r="E29" s="151">
        <v>1.6910000000000001</v>
      </c>
      <c r="F29" s="151">
        <v>96</v>
      </c>
      <c r="G29" s="151">
        <v>162.33600000000001</v>
      </c>
      <c r="H29" s="151">
        <v>86</v>
      </c>
      <c r="I29" s="151">
        <v>145.42599999999999</v>
      </c>
      <c r="J29" s="151">
        <v>10</v>
      </c>
      <c r="K29" s="151">
        <v>16.91</v>
      </c>
      <c r="L29" s="58">
        <f>IF(K29&gt;=0,K29,0)</f>
        <v>16.91</v>
      </c>
      <c r="M29" s="58">
        <f>IF(K29&lt;=0,K29,0)</f>
        <v>0</v>
      </c>
      <c r="N29" s="58">
        <f>L29+-M29</f>
        <v>16.91</v>
      </c>
      <c r="O29" s="19"/>
      <c r="P29" s="19">
        <f t="shared" si="0"/>
        <v>1.6635506899709294E-2</v>
      </c>
      <c r="Q29" s="19">
        <f t="shared" si="1"/>
        <v>0.90993189097848248</v>
      </c>
    </row>
    <row r="30" spans="2:17" x14ac:dyDescent="0.2">
      <c r="B30" s="149">
        <v>50608042363</v>
      </c>
      <c r="C30" s="149" t="s">
        <v>290</v>
      </c>
      <c r="D30" s="150" t="s">
        <v>54</v>
      </c>
      <c r="E30" s="151">
        <v>15.5</v>
      </c>
      <c r="F30" s="151">
        <v>5</v>
      </c>
      <c r="G30" s="151">
        <v>77.5</v>
      </c>
      <c r="H30" s="151">
        <v>4</v>
      </c>
      <c r="I30" s="151">
        <v>62</v>
      </c>
      <c r="J30" s="151">
        <v>1</v>
      </c>
      <c r="K30" s="151">
        <v>15.5</v>
      </c>
      <c r="L30" s="58">
        <f>IF(K30&gt;=0,K30,0)</f>
        <v>15.5</v>
      </c>
      <c r="M30" s="58">
        <f>IF(K30&lt;=0,K30,0)</f>
        <v>0</v>
      </c>
      <c r="N30" s="58">
        <f>L30+-M30</f>
        <v>15.5</v>
      </c>
      <c r="O30" s="19"/>
      <c r="P30" s="19">
        <f t="shared" si="0"/>
        <v>1.5248394851892019E-2</v>
      </c>
      <c r="Q30" s="19">
        <f t="shared" si="1"/>
        <v>0.92518028583037448</v>
      </c>
    </row>
    <row r="31" spans="2:17" x14ac:dyDescent="0.2">
      <c r="B31" s="149">
        <v>101050521</v>
      </c>
      <c r="C31" s="149" t="s">
        <v>130</v>
      </c>
      <c r="D31" s="150" t="s">
        <v>113</v>
      </c>
      <c r="E31" s="151">
        <v>15.330000999999999</v>
      </c>
      <c r="F31" s="151">
        <v>5</v>
      </c>
      <c r="G31" s="151">
        <v>76.650004999999993</v>
      </c>
      <c r="H31" s="151">
        <v>4</v>
      </c>
      <c r="I31" s="151">
        <v>61.320003999999997</v>
      </c>
      <c r="J31" s="151">
        <v>1</v>
      </c>
      <c r="K31" s="151">
        <v>15.330000999999999</v>
      </c>
      <c r="L31" s="58">
        <f>IF(K31&gt;=0,K31,0)</f>
        <v>15.330000999999999</v>
      </c>
      <c r="M31" s="58">
        <f>IF(K31&lt;=0,K31,0)</f>
        <v>0</v>
      </c>
      <c r="N31" s="58">
        <f>L31+-M31</f>
        <v>15.330000999999999</v>
      </c>
      <c r="O31" s="19"/>
      <c r="P31" s="19">
        <f t="shared" si="0"/>
        <v>1.5081155375993515E-2</v>
      </c>
      <c r="Q31" s="19">
        <f t="shared" si="1"/>
        <v>0.94026144120636801</v>
      </c>
    </row>
    <row r="32" spans="2:17" x14ac:dyDescent="0.2">
      <c r="B32" s="149">
        <v>102010010</v>
      </c>
      <c r="C32" s="149" t="s">
        <v>88</v>
      </c>
      <c r="D32" s="150" t="s">
        <v>51</v>
      </c>
      <c r="E32" s="151">
        <v>5.53</v>
      </c>
      <c r="F32" s="151">
        <v>23</v>
      </c>
      <c r="G32" s="151">
        <v>127.19</v>
      </c>
      <c r="H32" s="151">
        <v>24.76</v>
      </c>
      <c r="I32" s="151">
        <v>136.9228</v>
      </c>
      <c r="J32" s="151">
        <v>-1.76</v>
      </c>
      <c r="K32" s="151">
        <v>-9.7327999999999992</v>
      </c>
      <c r="L32" s="58">
        <f>IF(K32&gt;=0,K32,0)</f>
        <v>0</v>
      </c>
      <c r="M32" s="58">
        <f>IF(K32&lt;=0,K32,0)</f>
        <v>-9.7327999999999992</v>
      </c>
      <c r="N32" s="58">
        <f>L32+-M32</f>
        <v>9.7327999999999992</v>
      </c>
      <c r="O32" s="19"/>
      <c r="P32" s="19">
        <f t="shared" si="0"/>
        <v>9.5748114460964279E-3</v>
      </c>
      <c r="Q32" s="19">
        <f t="shared" si="1"/>
        <v>0.94983625265246441</v>
      </c>
    </row>
    <row r="33" spans="2:17" x14ac:dyDescent="0.2">
      <c r="B33" s="149">
        <v>10209038312</v>
      </c>
      <c r="C33" s="149" t="s">
        <v>477</v>
      </c>
      <c r="D33" s="150" t="s">
        <v>89</v>
      </c>
      <c r="E33" s="151">
        <v>8.8999999999999996E-2</v>
      </c>
      <c r="F33" s="152">
        <v>2520</v>
      </c>
      <c r="G33" s="151">
        <v>224.28</v>
      </c>
      <c r="H33" s="152">
        <v>2420</v>
      </c>
      <c r="I33" s="151">
        <v>215.38</v>
      </c>
      <c r="J33" s="151">
        <v>100</v>
      </c>
      <c r="K33" s="151">
        <v>8.9</v>
      </c>
      <c r="L33" s="58">
        <f>IF(K33&gt;=0,K33,0)</f>
        <v>8.9</v>
      </c>
      <c r="M33" s="58">
        <f>IF(K33&lt;=0,K33,0)</f>
        <v>0</v>
      </c>
      <c r="N33" s="58">
        <f>L33+-M33</f>
        <v>8.9</v>
      </c>
      <c r="O33" s="19"/>
      <c r="P33" s="19">
        <f t="shared" si="0"/>
        <v>8.755529947215417E-3</v>
      </c>
      <c r="Q33" s="19">
        <f t="shared" si="1"/>
        <v>0.95859178259967981</v>
      </c>
    </row>
    <row r="34" spans="2:17" x14ac:dyDescent="0.2">
      <c r="B34" s="149">
        <v>102020015</v>
      </c>
      <c r="C34" s="149" t="s">
        <v>208</v>
      </c>
      <c r="D34" s="150" t="s">
        <v>51</v>
      </c>
      <c r="E34" s="151">
        <v>8.5</v>
      </c>
      <c r="F34" s="151">
        <v>17</v>
      </c>
      <c r="G34" s="151">
        <v>144.5</v>
      </c>
      <c r="H34" s="151">
        <v>18</v>
      </c>
      <c r="I34" s="151">
        <v>153</v>
      </c>
      <c r="J34" s="151">
        <v>-1</v>
      </c>
      <c r="K34" s="151">
        <v>-8.5</v>
      </c>
      <c r="L34" s="58">
        <f>IF(K34&gt;=0,K34,0)</f>
        <v>0</v>
      </c>
      <c r="M34" s="58">
        <f>IF(K34&lt;=0,K34,0)</f>
        <v>-8.5</v>
      </c>
      <c r="N34" s="58">
        <f>L34+-M34</f>
        <v>8.5</v>
      </c>
      <c r="O34" s="19"/>
      <c r="P34" s="19">
        <f t="shared" si="0"/>
        <v>8.3620229832956239E-3</v>
      </c>
      <c r="Q34" s="19">
        <f t="shared" si="1"/>
        <v>0.96695380558297539</v>
      </c>
    </row>
    <row r="35" spans="2:17" x14ac:dyDescent="0.2">
      <c r="B35" s="149">
        <v>400001</v>
      </c>
      <c r="C35" s="149" t="s">
        <v>144</v>
      </c>
      <c r="D35" s="150" t="s">
        <v>51</v>
      </c>
      <c r="E35" s="151">
        <v>8.15</v>
      </c>
      <c r="F35" s="151">
        <v>11</v>
      </c>
      <c r="G35" s="151">
        <v>89.65</v>
      </c>
      <c r="H35" s="151">
        <v>10</v>
      </c>
      <c r="I35" s="151">
        <v>81.5</v>
      </c>
      <c r="J35" s="151">
        <v>1</v>
      </c>
      <c r="K35" s="151">
        <v>8.15</v>
      </c>
      <c r="L35" s="58">
        <f>IF(K35&gt;=0,K35,0)</f>
        <v>8.15</v>
      </c>
      <c r="M35" s="58">
        <f>IF(K35&lt;=0,K35,0)</f>
        <v>0</v>
      </c>
      <c r="N35" s="58">
        <f>L35+-M35</f>
        <v>8.15</v>
      </c>
      <c r="O35" s="19"/>
      <c r="P35" s="19">
        <f t="shared" si="0"/>
        <v>8.0177043898658033E-3</v>
      </c>
      <c r="Q35" s="19">
        <f t="shared" si="1"/>
        <v>0.97497150997284121</v>
      </c>
    </row>
    <row r="36" spans="2:17" x14ac:dyDescent="0.2">
      <c r="B36" s="149">
        <v>102030081</v>
      </c>
      <c r="C36" s="149" t="s">
        <v>160</v>
      </c>
      <c r="D36" s="150" t="s">
        <v>65</v>
      </c>
      <c r="E36" s="151">
        <v>18.11</v>
      </c>
      <c r="F36" s="151">
        <v>0</v>
      </c>
      <c r="G36" s="151">
        <v>0</v>
      </c>
      <c r="H36" s="151">
        <v>0.4</v>
      </c>
      <c r="I36" s="151">
        <v>7.2439999999999998</v>
      </c>
      <c r="J36" s="151">
        <v>-0.4</v>
      </c>
      <c r="K36" s="151">
        <v>-7.2439999999999998</v>
      </c>
      <c r="L36" s="58">
        <f>IF(K36&gt;=0,K36,0)</f>
        <v>0</v>
      </c>
      <c r="M36" s="58">
        <f>IF(K36&lt;=0,K36,0)</f>
        <v>-7.2439999999999998</v>
      </c>
      <c r="N36" s="58">
        <f>L36+-M36</f>
        <v>7.2439999999999998</v>
      </c>
      <c r="O36" s="19"/>
      <c r="P36" s="19">
        <f t="shared" si="0"/>
        <v>7.1264111165874697E-3</v>
      </c>
      <c r="Q36" s="19">
        <f t="shared" si="1"/>
        <v>0.98209792108942873</v>
      </c>
    </row>
    <row r="37" spans="2:17" x14ac:dyDescent="0.2">
      <c r="B37" s="149">
        <v>102010021</v>
      </c>
      <c r="C37" s="149" t="s">
        <v>147</v>
      </c>
      <c r="D37" s="150" t="s">
        <v>51</v>
      </c>
      <c r="E37" s="151">
        <v>5.6</v>
      </c>
      <c r="F37" s="151">
        <v>12.25</v>
      </c>
      <c r="G37" s="151">
        <v>68.599999999999994</v>
      </c>
      <c r="H37" s="151">
        <v>11.25</v>
      </c>
      <c r="I37" s="151">
        <v>63</v>
      </c>
      <c r="J37" s="151">
        <v>1</v>
      </c>
      <c r="K37" s="151">
        <v>5.6</v>
      </c>
      <c r="L37" s="58">
        <f>IF(K37&gt;=0,K37,0)</f>
        <v>5.6</v>
      </c>
      <c r="M37" s="58">
        <f>IF(K37&lt;=0,K37,0)</f>
        <v>0</v>
      </c>
      <c r="N37" s="58">
        <f>L37+-M37</f>
        <v>5.6</v>
      </c>
      <c r="O37" s="19"/>
      <c r="P37" s="19">
        <f t="shared" si="0"/>
        <v>5.509097494877116E-3</v>
      </c>
      <c r="Q37" s="19">
        <f t="shared" si="1"/>
        <v>0.98760701858430588</v>
      </c>
    </row>
    <row r="38" spans="2:17" x14ac:dyDescent="0.2">
      <c r="B38" s="149">
        <v>101080156</v>
      </c>
      <c r="C38" s="149" t="s">
        <v>454</v>
      </c>
      <c r="D38" s="150" t="s">
        <v>58</v>
      </c>
      <c r="E38" s="151">
        <v>0.71399999999999997</v>
      </c>
      <c r="F38" s="151">
        <v>114</v>
      </c>
      <c r="G38" s="151">
        <v>81.396000000000001</v>
      </c>
      <c r="H38" s="151">
        <v>107</v>
      </c>
      <c r="I38" s="151">
        <v>76.397999999999996</v>
      </c>
      <c r="J38" s="151">
        <v>7</v>
      </c>
      <c r="K38" s="151">
        <v>4.9980000000000002</v>
      </c>
      <c r="L38" s="58">
        <f>IF(K38&gt;=0,K38,0)</f>
        <v>4.9980000000000002</v>
      </c>
      <c r="M38" s="58">
        <f>IF(K38&lt;=0,K38,0)</f>
        <v>0</v>
      </c>
      <c r="N38" s="58">
        <f>L38+-M38</f>
        <v>4.9980000000000002</v>
      </c>
      <c r="O38" s="19"/>
      <c r="P38" s="19">
        <f t="shared" si="0"/>
        <v>4.916869514177827E-3</v>
      </c>
      <c r="Q38" s="19">
        <f t="shared" si="1"/>
        <v>0.99252388809848369</v>
      </c>
    </row>
    <row r="39" spans="2:17" x14ac:dyDescent="0.2">
      <c r="B39" s="149">
        <v>102010025</v>
      </c>
      <c r="C39" s="149" t="s">
        <v>431</v>
      </c>
      <c r="D39" s="150" t="s">
        <v>51</v>
      </c>
      <c r="E39" s="151">
        <v>5.71</v>
      </c>
      <c r="F39" s="151">
        <v>22.6</v>
      </c>
      <c r="G39" s="151">
        <v>129.04599999999999</v>
      </c>
      <c r="H39" s="151">
        <v>22.1</v>
      </c>
      <c r="I39" s="151">
        <v>126.191</v>
      </c>
      <c r="J39" s="151">
        <v>0.5</v>
      </c>
      <c r="K39" s="151">
        <v>2.855</v>
      </c>
      <c r="L39" s="58">
        <f>IF(K39&gt;=0,K39,0)</f>
        <v>2.855</v>
      </c>
      <c r="M39" s="58">
        <f>IF(K39&lt;=0,K39,0)</f>
        <v>0</v>
      </c>
      <c r="N39" s="58">
        <f>L39+-M39</f>
        <v>2.855</v>
      </c>
      <c r="O39" s="19"/>
      <c r="P39" s="19">
        <f t="shared" ref="P39:P70" si="2">N39/$N$1055</f>
        <v>2.80865595497753E-3</v>
      </c>
      <c r="Q39" s="19">
        <f t="shared" ref="Q39:Q70" si="3">P39+Q38</f>
        <v>0.99533254405346117</v>
      </c>
    </row>
    <row r="40" spans="2:17" x14ac:dyDescent="0.2">
      <c r="B40" s="149">
        <v>102010007</v>
      </c>
      <c r="C40" s="149" t="s">
        <v>278</v>
      </c>
      <c r="D40" s="150" t="s">
        <v>51</v>
      </c>
      <c r="E40" s="151">
        <v>5.26</v>
      </c>
      <c r="F40" s="151">
        <v>18</v>
      </c>
      <c r="G40" s="151">
        <v>94.68</v>
      </c>
      <c r="H40" s="151">
        <v>17.7</v>
      </c>
      <c r="I40" s="151">
        <v>93.102000000000004</v>
      </c>
      <c r="J40" s="151">
        <v>0.3</v>
      </c>
      <c r="K40" s="151">
        <v>1.5780000000000001</v>
      </c>
      <c r="L40" s="58">
        <f>IF(K40&gt;=0,K40,0)</f>
        <v>1.5780000000000001</v>
      </c>
      <c r="M40" s="58">
        <f>IF(K40&lt;=0,K40,0)</f>
        <v>0</v>
      </c>
      <c r="N40" s="58">
        <f>L40+-M40</f>
        <v>1.5780000000000001</v>
      </c>
      <c r="O40" s="19"/>
      <c r="P40" s="19">
        <f t="shared" si="2"/>
        <v>1.5523849726635874E-3</v>
      </c>
      <c r="Q40" s="19">
        <f t="shared" si="3"/>
        <v>0.9968849290261248</v>
      </c>
    </row>
    <row r="41" spans="2:17" x14ac:dyDescent="0.2">
      <c r="B41" s="149">
        <v>10103039165</v>
      </c>
      <c r="C41" s="149" t="s">
        <v>207</v>
      </c>
      <c r="D41" s="150" t="s">
        <v>54</v>
      </c>
      <c r="E41" s="151">
        <v>1.3160000000000001</v>
      </c>
      <c r="F41" s="151">
        <v>97</v>
      </c>
      <c r="G41" s="151">
        <v>127.652</v>
      </c>
      <c r="H41" s="151">
        <v>98</v>
      </c>
      <c r="I41" s="151">
        <v>128.96799999999999</v>
      </c>
      <c r="J41" s="151">
        <v>-1</v>
      </c>
      <c r="K41" s="151">
        <v>-1.3160000000000001</v>
      </c>
      <c r="L41" s="58">
        <f>IF(K41&gt;=0,K41,0)</f>
        <v>0</v>
      </c>
      <c r="M41" s="58">
        <f>IF(K41&lt;=0,K41,0)</f>
        <v>-1.3160000000000001</v>
      </c>
      <c r="N41" s="58">
        <f>L41+-M41</f>
        <v>1.3160000000000001</v>
      </c>
      <c r="O41" s="19"/>
      <c r="P41" s="19">
        <f t="shared" si="2"/>
        <v>1.2946379112961225E-3</v>
      </c>
      <c r="Q41" s="19">
        <f t="shared" si="3"/>
        <v>0.99817956693742094</v>
      </c>
    </row>
    <row r="42" spans="2:17" x14ac:dyDescent="0.2">
      <c r="B42" s="149">
        <v>10205042163</v>
      </c>
      <c r="C42" s="149" t="s">
        <v>294</v>
      </c>
      <c r="D42" s="150" t="s">
        <v>54</v>
      </c>
      <c r="E42" s="151">
        <v>0.84799999999999998</v>
      </c>
      <c r="F42" s="151">
        <v>500</v>
      </c>
      <c r="G42" s="151">
        <v>424</v>
      </c>
      <c r="H42" s="151">
        <v>499</v>
      </c>
      <c r="I42" s="151">
        <v>423.15199999999999</v>
      </c>
      <c r="J42" s="151">
        <v>1</v>
      </c>
      <c r="K42" s="151">
        <v>0.84799999999999998</v>
      </c>
      <c r="L42" s="58">
        <f>IF(K42&gt;=0,K42,0)</f>
        <v>0.84799999999999998</v>
      </c>
      <c r="M42" s="58">
        <f>IF(K42&lt;=0,K42,0)</f>
        <v>0</v>
      </c>
      <c r="N42" s="58">
        <f>L42+-M42</f>
        <v>0.84799999999999998</v>
      </c>
      <c r="O42" s="19"/>
      <c r="P42" s="19">
        <f t="shared" si="2"/>
        <v>8.3423476350996336E-4</v>
      </c>
      <c r="Q42" s="19">
        <f t="shared" si="3"/>
        <v>0.9990138017009309</v>
      </c>
    </row>
    <row r="43" spans="2:17" x14ac:dyDescent="0.2">
      <c r="B43" s="149">
        <v>102020016</v>
      </c>
      <c r="C43" s="149" t="s">
        <v>150</v>
      </c>
      <c r="D43" s="150" t="s">
        <v>51</v>
      </c>
      <c r="E43" s="151">
        <v>3.33</v>
      </c>
      <c r="F43" s="151">
        <v>329.8</v>
      </c>
      <c r="G43" s="152">
        <v>1098.2339999999999</v>
      </c>
      <c r="H43" s="151">
        <v>329.7</v>
      </c>
      <c r="I43" s="152">
        <v>1097.9010000000001</v>
      </c>
      <c r="J43" s="151">
        <v>0.1</v>
      </c>
      <c r="K43" s="151">
        <v>0.33300000000000002</v>
      </c>
      <c r="L43" s="58">
        <f>IF(K43&gt;=0,K43,0)</f>
        <v>0.33300000000000002</v>
      </c>
      <c r="M43" s="58">
        <f>IF(K43&lt;=0,K43,0)</f>
        <v>0</v>
      </c>
      <c r="N43" s="58">
        <f>L43+-M43</f>
        <v>0.33300000000000002</v>
      </c>
      <c r="O43" s="19"/>
      <c r="P43" s="19">
        <f t="shared" si="2"/>
        <v>3.2759454746322857E-4</v>
      </c>
      <c r="Q43" s="19">
        <f t="shared" si="3"/>
        <v>0.99934139624839413</v>
      </c>
    </row>
    <row r="44" spans="2:17" x14ac:dyDescent="0.2">
      <c r="B44" s="149">
        <v>102010034</v>
      </c>
      <c r="C44" s="149" t="s">
        <v>338</v>
      </c>
      <c r="D44" s="150" t="s">
        <v>51</v>
      </c>
      <c r="E44" s="151">
        <v>6.5</v>
      </c>
      <c r="F44" s="151">
        <v>25</v>
      </c>
      <c r="G44" s="151">
        <v>162.5</v>
      </c>
      <c r="H44" s="151">
        <v>24.97</v>
      </c>
      <c r="I44" s="151">
        <v>162.30500000000001</v>
      </c>
      <c r="J44" s="151">
        <v>0.03</v>
      </c>
      <c r="K44" s="151">
        <v>0.19500000000000001</v>
      </c>
      <c r="L44" s="58">
        <f>IF(K44&gt;=0,K44,0)</f>
        <v>0.19500000000000001</v>
      </c>
      <c r="M44" s="58">
        <f>IF(K44&lt;=0,K44,0)</f>
        <v>0</v>
      </c>
      <c r="N44" s="58">
        <f>L44+-M44</f>
        <v>0.19500000000000001</v>
      </c>
      <c r="O44" s="19"/>
      <c r="P44" s="19">
        <f t="shared" si="2"/>
        <v>1.9183464491089961E-4</v>
      </c>
      <c r="Q44" s="19">
        <f t="shared" si="3"/>
        <v>0.99953323089330504</v>
      </c>
    </row>
    <row r="45" spans="2:17" x14ac:dyDescent="0.2">
      <c r="B45" s="149">
        <v>103020018</v>
      </c>
      <c r="C45" s="149" t="s">
        <v>129</v>
      </c>
      <c r="D45" s="150" t="s">
        <v>51</v>
      </c>
      <c r="E45" s="151">
        <v>9.2194280000000006</v>
      </c>
      <c r="F45" s="151">
        <v>57</v>
      </c>
      <c r="G45" s="151">
        <v>525.50739599999997</v>
      </c>
      <c r="H45" s="151">
        <v>57.02</v>
      </c>
      <c r="I45" s="151">
        <v>525.69178499999998</v>
      </c>
      <c r="J45" s="151">
        <v>-0.02</v>
      </c>
      <c r="K45" s="151">
        <v>-0.184389</v>
      </c>
      <c r="L45" s="58">
        <f>IF(K45&gt;=0,K45,0)</f>
        <v>0</v>
      </c>
      <c r="M45" s="58">
        <f>IF(K45&lt;=0,K45,0)</f>
        <v>-0.184389</v>
      </c>
      <c r="N45" s="58">
        <f>L45+-M45</f>
        <v>0.184389</v>
      </c>
      <c r="O45" s="19"/>
      <c r="P45" s="19">
        <f t="shared" si="2"/>
        <v>1.8139588892551725E-4</v>
      </c>
      <c r="Q45" s="19">
        <f t="shared" si="3"/>
        <v>0.99971462678223055</v>
      </c>
    </row>
    <row r="46" spans="2:17" x14ac:dyDescent="0.2">
      <c r="B46" s="149" t="s">
        <v>239</v>
      </c>
      <c r="C46" s="149" t="s">
        <v>240</v>
      </c>
      <c r="D46" s="150" t="s">
        <v>65</v>
      </c>
      <c r="E46" s="151">
        <v>153.672</v>
      </c>
      <c r="F46" s="151">
        <v>3.46</v>
      </c>
      <c r="G46" s="151">
        <v>531.70511999999997</v>
      </c>
      <c r="H46" s="151">
        <v>3.4590000000000001</v>
      </c>
      <c r="I46" s="151">
        <v>531.55144800000005</v>
      </c>
      <c r="J46" s="151">
        <v>1E-3</v>
      </c>
      <c r="K46" s="151">
        <v>0.153672</v>
      </c>
      <c r="L46" s="58">
        <f>IF(K46&gt;=0,K46,0)</f>
        <v>0.153672</v>
      </c>
      <c r="M46" s="58">
        <f>IF(K46&lt;=0,K46,0)</f>
        <v>0</v>
      </c>
      <c r="N46" s="58">
        <f>L46+-M46</f>
        <v>0.153672</v>
      </c>
      <c r="O46" s="19"/>
      <c r="P46" s="19">
        <f t="shared" si="2"/>
        <v>1.5117750539870648E-4</v>
      </c>
      <c r="Q46" s="19">
        <f t="shared" si="3"/>
        <v>0.99986580428762928</v>
      </c>
    </row>
    <row r="47" spans="2:17" x14ac:dyDescent="0.2">
      <c r="B47" s="149">
        <v>3010158</v>
      </c>
      <c r="C47" s="149" t="s">
        <v>66</v>
      </c>
      <c r="D47" s="150" t="s">
        <v>67</v>
      </c>
      <c r="E47" s="151">
        <v>13.242000000000001</v>
      </c>
      <c r="F47" s="151">
        <v>12.94</v>
      </c>
      <c r="G47" s="151">
        <v>171.35148000000001</v>
      </c>
      <c r="H47" s="151">
        <v>12.935</v>
      </c>
      <c r="I47" s="151">
        <v>171.28527</v>
      </c>
      <c r="J47" s="151">
        <v>5.0000000000000001E-3</v>
      </c>
      <c r="K47" s="151">
        <v>6.6210000000000005E-2</v>
      </c>
      <c r="L47" s="58">
        <f>IF(K47&gt;=0,K47,0)</f>
        <v>6.6210000000000005E-2</v>
      </c>
      <c r="M47" s="58">
        <f>IF(K47&lt;=0,K47,0)</f>
        <v>0</v>
      </c>
      <c r="N47" s="58">
        <f>L47+-M47</f>
        <v>6.6210000000000005E-2</v>
      </c>
      <c r="O47" s="19"/>
      <c r="P47" s="19">
        <f t="shared" si="2"/>
        <v>6.5135240202823918E-5</v>
      </c>
      <c r="Q47" s="19">
        <f t="shared" si="3"/>
        <v>0.99993093952783207</v>
      </c>
    </row>
    <row r="48" spans="2:17" x14ac:dyDescent="0.2">
      <c r="B48" s="149">
        <v>103020024</v>
      </c>
      <c r="C48" s="149" t="s">
        <v>148</v>
      </c>
      <c r="D48" s="150" t="s">
        <v>51</v>
      </c>
      <c r="E48" s="151">
        <v>13.2</v>
      </c>
      <c r="F48" s="151">
        <v>164.1</v>
      </c>
      <c r="G48" s="152">
        <v>2166.12</v>
      </c>
      <c r="H48" s="151">
        <v>164.095</v>
      </c>
      <c r="I48" s="152">
        <v>2166.0540000000001</v>
      </c>
      <c r="J48" s="151">
        <v>5.0000000000000001E-3</v>
      </c>
      <c r="K48" s="151">
        <v>6.6000000000000003E-2</v>
      </c>
      <c r="L48" s="58">
        <f>IF(K48&gt;=0,K48,0)</f>
        <v>6.6000000000000003E-2</v>
      </c>
      <c r="M48" s="58">
        <f>IF(K48&lt;=0,K48,0)</f>
        <v>0</v>
      </c>
      <c r="N48" s="58">
        <f>L48+-M48</f>
        <v>6.6000000000000003E-2</v>
      </c>
      <c r="O48" s="19"/>
      <c r="P48" s="19">
        <f t="shared" si="2"/>
        <v>6.4928649046766025E-5</v>
      </c>
      <c r="Q48" s="19">
        <f t="shared" si="3"/>
        <v>0.9999958681768788</v>
      </c>
    </row>
    <row r="49" spans="2:17" x14ac:dyDescent="0.2">
      <c r="B49" s="149">
        <v>1020134657</v>
      </c>
      <c r="C49" s="149" t="s">
        <v>62</v>
      </c>
      <c r="D49" s="150" t="s">
        <v>58</v>
      </c>
      <c r="E49" s="151">
        <v>0.84</v>
      </c>
      <c r="F49" s="152">
        <v>1493</v>
      </c>
      <c r="G49" s="152">
        <v>1254.1199999999999</v>
      </c>
      <c r="H49" s="152">
        <v>1492.9949999999999</v>
      </c>
      <c r="I49" s="152">
        <v>1254.1158</v>
      </c>
      <c r="J49" s="151">
        <v>5.0000000000000001E-3</v>
      </c>
      <c r="K49" s="151">
        <v>4.1999999999999997E-3</v>
      </c>
      <c r="L49" s="58">
        <f>IF(K49&gt;=0,K49,0)</f>
        <v>4.1999999999999997E-3</v>
      </c>
      <c r="M49" s="58">
        <f>IF(K49&lt;=0,K49,0)</f>
        <v>0</v>
      </c>
      <c r="N49" s="58">
        <f>L49+-M49</f>
        <v>4.1999999999999997E-3</v>
      </c>
      <c r="O49" s="19"/>
      <c r="P49" s="19">
        <f t="shared" si="2"/>
        <v>4.1318231211578373E-6</v>
      </c>
      <c r="Q49" s="19">
        <f t="shared" si="3"/>
        <v>1</v>
      </c>
    </row>
    <row r="50" spans="2:17" x14ac:dyDescent="0.2">
      <c r="B50" s="154"/>
      <c r="C50" s="155"/>
      <c r="D50" s="157"/>
      <c r="E50" s="159"/>
      <c r="F50" s="159"/>
      <c r="G50" s="159"/>
      <c r="H50" s="159"/>
      <c r="I50" s="159"/>
      <c r="J50" s="159"/>
      <c r="K50" s="159"/>
      <c r="L50" s="58">
        <f>IF(K50&gt;=0,K50,0)</f>
        <v>0</v>
      </c>
      <c r="M50" s="58">
        <f>IF(K50&lt;=0,K50,0)</f>
        <v>0</v>
      </c>
      <c r="N50" s="58">
        <f>L50+-M50</f>
        <v>0</v>
      </c>
      <c r="O50" s="19"/>
      <c r="P50" s="19">
        <f t="shared" si="2"/>
        <v>0</v>
      </c>
      <c r="Q50" s="19">
        <f t="shared" si="3"/>
        <v>1</v>
      </c>
    </row>
    <row r="51" spans="2:17" x14ac:dyDescent="0.2">
      <c r="B51" s="149">
        <v>10101042223</v>
      </c>
      <c r="C51" s="149" t="s">
        <v>272</v>
      </c>
      <c r="D51" s="150" t="s">
        <v>47</v>
      </c>
      <c r="E51" s="151">
        <v>14.109</v>
      </c>
      <c r="F51" s="151">
        <v>12</v>
      </c>
      <c r="G51" s="151">
        <v>169.30799999999999</v>
      </c>
      <c r="H51" s="151">
        <v>12</v>
      </c>
      <c r="I51" s="151">
        <v>169.30799999999999</v>
      </c>
      <c r="J51" s="151">
        <v>0</v>
      </c>
      <c r="K51" s="151">
        <v>0</v>
      </c>
      <c r="L51" s="58">
        <f>IF(K51&gt;=0,K51,0)</f>
        <v>0</v>
      </c>
      <c r="M51" s="58">
        <f>IF(K51&lt;=0,K51,0)</f>
        <v>0</v>
      </c>
      <c r="N51" s="58">
        <f>L51+-M51</f>
        <v>0</v>
      </c>
      <c r="O51" s="19"/>
      <c r="P51" s="19">
        <f t="shared" si="2"/>
        <v>0</v>
      </c>
      <c r="Q51" s="19">
        <f t="shared" si="3"/>
        <v>1</v>
      </c>
    </row>
    <row r="52" spans="2:17" x14ac:dyDescent="0.2">
      <c r="B52" s="149">
        <v>10101036994</v>
      </c>
      <c r="C52" s="149" t="s">
        <v>347</v>
      </c>
      <c r="D52" s="150" t="s">
        <v>49</v>
      </c>
      <c r="E52" s="151">
        <v>34.119999999999997</v>
      </c>
      <c r="F52" s="151">
        <v>53</v>
      </c>
      <c r="G52" s="152">
        <v>1808.36</v>
      </c>
      <c r="H52" s="151">
        <v>53</v>
      </c>
      <c r="I52" s="152">
        <v>1808.36</v>
      </c>
      <c r="J52" s="151">
        <v>0</v>
      </c>
      <c r="K52" s="151">
        <v>0</v>
      </c>
      <c r="L52" s="58">
        <f>IF(K52&gt;=0,K52,0)</f>
        <v>0</v>
      </c>
      <c r="M52" s="58">
        <f>IF(K52&lt;=0,K52,0)</f>
        <v>0</v>
      </c>
      <c r="N52" s="58">
        <f>L52+-M52</f>
        <v>0</v>
      </c>
      <c r="O52" s="19"/>
      <c r="P52" s="19">
        <f t="shared" si="2"/>
        <v>0</v>
      </c>
      <c r="Q52" s="19">
        <f t="shared" si="3"/>
        <v>1</v>
      </c>
    </row>
    <row r="53" spans="2:17" x14ac:dyDescent="0.2">
      <c r="B53" s="149">
        <v>5060130729</v>
      </c>
      <c r="C53" s="149" t="s">
        <v>50</v>
      </c>
      <c r="D53" s="150" t="s">
        <v>51</v>
      </c>
      <c r="E53" s="151">
        <v>27</v>
      </c>
      <c r="F53" s="151">
        <v>29</v>
      </c>
      <c r="G53" s="151">
        <v>783</v>
      </c>
      <c r="H53" s="151">
        <v>29</v>
      </c>
      <c r="I53" s="151">
        <v>783</v>
      </c>
      <c r="J53" s="151">
        <v>0</v>
      </c>
      <c r="K53" s="151">
        <v>0</v>
      </c>
      <c r="L53" s="58">
        <f>IF(K53&gt;=0,K53,0)</f>
        <v>0</v>
      </c>
      <c r="M53" s="58">
        <f>IF(K53&lt;=0,K53,0)</f>
        <v>0</v>
      </c>
      <c r="N53" s="58">
        <f>L53+-M53</f>
        <v>0</v>
      </c>
      <c r="O53" s="19"/>
      <c r="P53" s="19">
        <f t="shared" si="2"/>
        <v>0</v>
      </c>
      <c r="Q53" s="19">
        <f t="shared" si="3"/>
        <v>1</v>
      </c>
    </row>
    <row r="54" spans="2:17" x14ac:dyDescent="0.2">
      <c r="B54" s="149">
        <v>30201037901</v>
      </c>
      <c r="C54" s="149" t="s">
        <v>52</v>
      </c>
      <c r="D54" s="150" t="s">
        <v>47</v>
      </c>
      <c r="E54" s="151">
        <v>0.95</v>
      </c>
      <c r="F54" s="152">
        <v>1275</v>
      </c>
      <c r="G54" s="152">
        <v>1211.25</v>
      </c>
      <c r="H54" s="152">
        <v>1275</v>
      </c>
      <c r="I54" s="152">
        <v>1211.25</v>
      </c>
      <c r="J54" s="151">
        <v>0</v>
      </c>
      <c r="K54" s="151">
        <v>0</v>
      </c>
      <c r="L54" s="58">
        <f>IF(K54&gt;=0,K54,0)</f>
        <v>0</v>
      </c>
      <c r="M54" s="58">
        <f>IF(K54&lt;=0,K54,0)</f>
        <v>0</v>
      </c>
      <c r="N54" s="58">
        <f>L54+-M54</f>
        <v>0</v>
      </c>
      <c r="O54" s="19"/>
      <c r="P54" s="19">
        <f t="shared" si="2"/>
        <v>0</v>
      </c>
      <c r="Q54" s="19">
        <f t="shared" si="3"/>
        <v>1</v>
      </c>
    </row>
    <row r="55" spans="2:17" x14ac:dyDescent="0.2">
      <c r="B55" s="149">
        <v>102010041</v>
      </c>
      <c r="C55" s="149" t="s">
        <v>53</v>
      </c>
      <c r="D55" s="150" t="s">
        <v>51</v>
      </c>
      <c r="E55" s="151">
        <v>5.5</v>
      </c>
      <c r="F55" s="151">
        <v>35.409999999999997</v>
      </c>
      <c r="G55" s="151">
        <v>194.755</v>
      </c>
      <c r="H55" s="151">
        <v>35.409999999999997</v>
      </c>
      <c r="I55" s="151">
        <v>194.755</v>
      </c>
      <c r="J55" s="151">
        <v>0</v>
      </c>
      <c r="K55" s="151">
        <v>0</v>
      </c>
      <c r="L55" s="58">
        <f>IF(K55&gt;=0,K55,0)</f>
        <v>0</v>
      </c>
      <c r="M55" s="58">
        <f>IF(K55&lt;=0,K55,0)</f>
        <v>0</v>
      </c>
      <c r="N55" s="58">
        <f>L55+-M55</f>
        <v>0</v>
      </c>
      <c r="O55" s="19"/>
      <c r="P55" s="19">
        <f t="shared" si="2"/>
        <v>0</v>
      </c>
      <c r="Q55" s="19">
        <f t="shared" si="3"/>
        <v>1</v>
      </c>
    </row>
    <row r="56" spans="2:17" x14ac:dyDescent="0.2">
      <c r="B56" s="149">
        <v>50634702</v>
      </c>
      <c r="C56" s="149" t="s">
        <v>348</v>
      </c>
      <c r="D56" s="150" t="s">
        <v>54</v>
      </c>
      <c r="E56" s="151">
        <v>11.9</v>
      </c>
      <c r="F56" s="151">
        <v>17</v>
      </c>
      <c r="G56" s="151">
        <v>202.3</v>
      </c>
      <c r="H56" s="151">
        <v>17</v>
      </c>
      <c r="I56" s="151">
        <v>202.3</v>
      </c>
      <c r="J56" s="151">
        <v>0</v>
      </c>
      <c r="K56" s="151">
        <v>0</v>
      </c>
      <c r="L56" s="58">
        <f>IF(K56&gt;=0,K56,0)</f>
        <v>0</v>
      </c>
      <c r="M56" s="58">
        <f>IF(K56&lt;=0,K56,0)</f>
        <v>0</v>
      </c>
      <c r="N56" s="58">
        <f>L56+-M56</f>
        <v>0</v>
      </c>
      <c r="O56" s="19"/>
      <c r="P56" s="19">
        <f t="shared" si="2"/>
        <v>0</v>
      </c>
      <c r="Q56" s="19">
        <f t="shared" si="3"/>
        <v>1</v>
      </c>
    </row>
    <row r="57" spans="2:17" x14ac:dyDescent="0.2">
      <c r="B57" s="149">
        <v>70041</v>
      </c>
      <c r="C57" s="149" t="s">
        <v>183</v>
      </c>
      <c r="D57" s="150" t="s">
        <v>51</v>
      </c>
      <c r="E57" s="151">
        <v>11.731381000000001</v>
      </c>
      <c r="F57" s="151">
        <v>105</v>
      </c>
      <c r="G57" s="152">
        <v>1231.7950049999999</v>
      </c>
      <c r="H57" s="151">
        <v>105</v>
      </c>
      <c r="I57" s="152">
        <v>1231.7950049999999</v>
      </c>
      <c r="J57" s="151">
        <v>0</v>
      </c>
      <c r="K57" s="151">
        <v>0</v>
      </c>
      <c r="L57" s="58">
        <f>IF(K57&gt;=0,K57,0)</f>
        <v>0</v>
      </c>
      <c r="M57" s="58">
        <f>IF(K57&lt;=0,K57,0)</f>
        <v>0</v>
      </c>
      <c r="N57" s="58">
        <f>L57+-M57</f>
        <v>0</v>
      </c>
      <c r="O57" s="19"/>
      <c r="P57" s="19">
        <f t="shared" si="2"/>
        <v>0</v>
      </c>
      <c r="Q57" s="19">
        <f t="shared" si="3"/>
        <v>1</v>
      </c>
    </row>
    <row r="58" spans="2:17" x14ac:dyDescent="0.2">
      <c r="B58" s="149">
        <v>102010003</v>
      </c>
      <c r="C58" s="149" t="s">
        <v>300</v>
      </c>
      <c r="D58" s="150" t="s">
        <v>51</v>
      </c>
      <c r="E58" s="151">
        <v>5.53</v>
      </c>
      <c r="F58" s="151">
        <v>4</v>
      </c>
      <c r="G58" s="151">
        <v>22.12</v>
      </c>
      <c r="H58" s="151">
        <v>4</v>
      </c>
      <c r="I58" s="151">
        <v>22.12</v>
      </c>
      <c r="J58" s="151">
        <v>0</v>
      </c>
      <c r="K58" s="151">
        <v>0</v>
      </c>
      <c r="L58" s="58">
        <f>IF(K58&gt;=0,K58,0)</f>
        <v>0</v>
      </c>
      <c r="M58" s="58">
        <f>IF(K58&lt;=0,K58,0)</f>
        <v>0</v>
      </c>
      <c r="N58" s="58">
        <f>L58+-M58</f>
        <v>0</v>
      </c>
      <c r="O58" s="19"/>
      <c r="P58" s="19">
        <f t="shared" si="2"/>
        <v>0</v>
      </c>
      <c r="Q58" s="19">
        <f t="shared" si="3"/>
        <v>1</v>
      </c>
    </row>
    <row r="59" spans="2:17" x14ac:dyDescent="0.2">
      <c r="B59" s="149">
        <v>20509039041</v>
      </c>
      <c r="C59" s="149" t="s">
        <v>301</v>
      </c>
      <c r="D59" s="150" t="s">
        <v>243</v>
      </c>
      <c r="E59" s="151">
        <v>20.9</v>
      </c>
      <c r="F59" s="151">
        <v>7</v>
      </c>
      <c r="G59" s="151">
        <v>146.30000000000001</v>
      </c>
      <c r="H59" s="151">
        <v>7</v>
      </c>
      <c r="I59" s="151">
        <v>146.30000000000001</v>
      </c>
      <c r="J59" s="151">
        <v>0</v>
      </c>
      <c r="K59" s="151">
        <v>0</v>
      </c>
      <c r="L59" s="58">
        <f>IF(K59&gt;=0,K59,0)</f>
        <v>0</v>
      </c>
      <c r="M59" s="58">
        <f>IF(K59&lt;=0,K59,0)</f>
        <v>0</v>
      </c>
      <c r="N59" s="58">
        <f>L59+-M59</f>
        <v>0</v>
      </c>
      <c r="O59" s="19"/>
      <c r="P59" s="19">
        <f t="shared" si="2"/>
        <v>0</v>
      </c>
      <c r="Q59" s="19">
        <f t="shared" si="3"/>
        <v>1</v>
      </c>
    </row>
    <row r="60" spans="2:17" x14ac:dyDescent="0.2">
      <c r="B60" s="149" t="s">
        <v>241</v>
      </c>
      <c r="C60" s="149" t="s">
        <v>242</v>
      </c>
      <c r="D60" s="150" t="s">
        <v>48</v>
      </c>
      <c r="E60" s="151">
        <v>72.650000000000006</v>
      </c>
      <c r="F60" s="151">
        <v>8</v>
      </c>
      <c r="G60" s="151">
        <v>581.20000000000005</v>
      </c>
      <c r="H60" s="151">
        <v>8</v>
      </c>
      <c r="I60" s="151">
        <v>581.20000000000005</v>
      </c>
      <c r="J60" s="151">
        <v>0</v>
      </c>
      <c r="K60" s="151">
        <v>0</v>
      </c>
      <c r="L60" s="58">
        <f>IF(K60&gt;=0,K60,0)</f>
        <v>0</v>
      </c>
      <c r="M60" s="58">
        <f>IF(K60&lt;=0,K60,0)</f>
        <v>0</v>
      </c>
      <c r="N60" s="58">
        <f>L60+-M60</f>
        <v>0</v>
      </c>
      <c r="O60" s="19"/>
      <c r="P60" s="19">
        <f t="shared" si="2"/>
        <v>0</v>
      </c>
      <c r="Q60" s="19">
        <f t="shared" si="3"/>
        <v>1</v>
      </c>
    </row>
    <row r="61" spans="2:17" x14ac:dyDescent="0.2">
      <c r="B61" s="149">
        <v>1020530551</v>
      </c>
      <c r="C61" s="149" t="s">
        <v>302</v>
      </c>
      <c r="D61" s="150" t="s">
        <v>54</v>
      </c>
      <c r="E61" s="151">
        <v>48.42</v>
      </c>
      <c r="F61" s="151">
        <v>1</v>
      </c>
      <c r="G61" s="151">
        <v>48.42</v>
      </c>
      <c r="H61" s="151">
        <v>1</v>
      </c>
      <c r="I61" s="151">
        <v>48.42</v>
      </c>
      <c r="J61" s="151">
        <v>0</v>
      </c>
      <c r="K61" s="151">
        <v>0</v>
      </c>
      <c r="L61" s="58">
        <f>IF(K61&gt;=0,K61,0)</f>
        <v>0</v>
      </c>
      <c r="M61" s="58">
        <f>IF(K61&lt;=0,K61,0)</f>
        <v>0</v>
      </c>
      <c r="N61" s="58">
        <f>L61+-M61</f>
        <v>0</v>
      </c>
      <c r="O61" s="19"/>
      <c r="P61" s="19">
        <f t="shared" si="2"/>
        <v>0</v>
      </c>
      <c r="Q61" s="19">
        <f t="shared" si="3"/>
        <v>1</v>
      </c>
    </row>
    <row r="62" spans="2:17" x14ac:dyDescent="0.2">
      <c r="B62" s="149">
        <v>40101041690</v>
      </c>
      <c r="C62" s="149" t="s">
        <v>303</v>
      </c>
      <c r="D62" s="150" t="s">
        <v>51</v>
      </c>
      <c r="E62" s="151">
        <v>30.28</v>
      </c>
      <c r="F62" s="151">
        <v>4.4000000000000004</v>
      </c>
      <c r="G62" s="151">
        <v>133.232</v>
      </c>
      <c r="H62" s="151">
        <v>4.4000000000000004</v>
      </c>
      <c r="I62" s="151">
        <v>133.232</v>
      </c>
      <c r="J62" s="151">
        <v>0</v>
      </c>
      <c r="K62" s="151">
        <v>0</v>
      </c>
      <c r="L62" s="58">
        <f>IF(K62&gt;=0,K62,0)</f>
        <v>0</v>
      </c>
      <c r="M62" s="58">
        <f>IF(K62&lt;=0,K62,0)</f>
        <v>0</v>
      </c>
      <c r="N62" s="58">
        <f>L62+-M62</f>
        <v>0</v>
      </c>
      <c r="O62" s="19"/>
      <c r="P62" s="19">
        <f t="shared" si="2"/>
        <v>0</v>
      </c>
      <c r="Q62" s="19">
        <f t="shared" si="3"/>
        <v>1</v>
      </c>
    </row>
    <row r="63" spans="2:17" x14ac:dyDescent="0.2">
      <c r="B63" s="149">
        <v>1020530552</v>
      </c>
      <c r="C63" s="149" t="s">
        <v>435</v>
      </c>
      <c r="D63" s="150" t="s">
        <v>54</v>
      </c>
      <c r="E63" s="151">
        <v>30</v>
      </c>
      <c r="F63" s="151">
        <v>1</v>
      </c>
      <c r="G63" s="151">
        <v>30</v>
      </c>
      <c r="H63" s="151">
        <v>1</v>
      </c>
      <c r="I63" s="151">
        <v>30</v>
      </c>
      <c r="J63" s="151">
        <v>0</v>
      </c>
      <c r="K63" s="151">
        <v>0</v>
      </c>
      <c r="L63" s="58">
        <f>IF(K63&gt;=0,K63,0)</f>
        <v>0</v>
      </c>
      <c r="M63" s="58">
        <f>IF(K63&lt;=0,K63,0)</f>
        <v>0</v>
      </c>
      <c r="N63" s="58">
        <f>L63+-M63</f>
        <v>0</v>
      </c>
      <c r="O63" s="19"/>
      <c r="P63" s="19">
        <f t="shared" si="2"/>
        <v>0</v>
      </c>
      <c r="Q63" s="19">
        <f t="shared" si="3"/>
        <v>1</v>
      </c>
    </row>
    <row r="64" spans="2:17" x14ac:dyDescent="0.2">
      <c r="B64" s="149">
        <v>102010004</v>
      </c>
      <c r="C64" s="149" t="s">
        <v>55</v>
      </c>
      <c r="D64" s="150" t="s">
        <v>51</v>
      </c>
      <c r="E64" s="151">
        <v>3.8</v>
      </c>
      <c r="F64" s="151">
        <v>10.46</v>
      </c>
      <c r="G64" s="151">
        <v>39.747999999999998</v>
      </c>
      <c r="H64" s="151">
        <v>10.46</v>
      </c>
      <c r="I64" s="151">
        <v>39.747999999999998</v>
      </c>
      <c r="J64" s="151">
        <v>0</v>
      </c>
      <c r="K64" s="151">
        <v>0</v>
      </c>
      <c r="L64" s="58">
        <f>IF(K64&gt;=0,K64,0)</f>
        <v>0</v>
      </c>
      <c r="M64" s="58">
        <f>IF(K64&lt;=0,K64,0)</f>
        <v>0</v>
      </c>
      <c r="N64" s="58">
        <f>L64+-M64</f>
        <v>0</v>
      </c>
      <c r="O64" s="19"/>
      <c r="P64" s="19">
        <f t="shared" si="2"/>
        <v>0</v>
      </c>
      <c r="Q64" s="19">
        <f t="shared" si="3"/>
        <v>1</v>
      </c>
    </row>
    <row r="65" spans="2:17" x14ac:dyDescent="0.2">
      <c r="B65" s="149">
        <v>10102041614</v>
      </c>
      <c r="C65" s="149" t="s">
        <v>213</v>
      </c>
      <c r="D65" s="150" t="s">
        <v>56</v>
      </c>
      <c r="E65" s="151">
        <v>209.706772</v>
      </c>
      <c r="F65" s="151">
        <v>23</v>
      </c>
      <c r="G65" s="152">
        <v>4823.2557559999996</v>
      </c>
      <c r="H65" s="151">
        <v>23</v>
      </c>
      <c r="I65" s="152">
        <v>4823.2557559999996</v>
      </c>
      <c r="J65" s="151">
        <v>0</v>
      </c>
      <c r="K65" s="151">
        <v>0</v>
      </c>
      <c r="L65" s="58">
        <f>IF(K65&gt;=0,K65,0)</f>
        <v>0</v>
      </c>
      <c r="M65" s="58">
        <f>IF(K65&lt;=0,K65,0)</f>
        <v>0</v>
      </c>
      <c r="N65" s="58">
        <f>L65+-M65</f>
        <v>0</v>
      </c>
      <c r="O65" s="19"/>
      <c r="P65" s="19">
        <f t="shared" si="2"/>
        <v>0</v>
      </c>
      <c r="Q65" s="19">
        <f t="shared" si="3"/>
        <v>1</v>
      </c>
    </row>
    <row r="66" spans="2:17" x14ac:dyDescent="0.2">
      <c r="B66" s="149">
        <v>103010001</v>
      </c>
      <c r="C66" s="149" t="s">
        <v>57</v>
      </c>
      <c r="D66" s="150" t="s">
        <v>51</v>
      </c>
      <c r="E66" s="151">
        <v>7.2985800000000003</v>
      </c>
      <c r="F66" s="151">
        <v>283</v>
      </c>
      <c r="G66" s="152">
        <v>2065.4981400000001</v>
      </c>
      <c r="H66" s="151">
        <v>283</v>
      </c>
      <c r="I66" s="152">
        <v>2065.4981400000001</v>
      </c>
      <c r="J66" s="151">
        <v>0</v>
      </c>
      <c r="K66" s="151">
        <v>0</v>
      </c>
      <c r="L66" s="58">
        <f>IF(K66&gt;=0,K66,0)</f>
        <v>0</v>
      </c>
      <c r="M66" s="58">
        <f>IF(K66&lt;=0,K66,0)</f>
        <v>0</v>
      </c>
      <c r="N66" s="58">
        <f>L66+-M66</f>
        <v>0</v>
      </c>
      <c r="O66" s="19"/>
      <c r="P66" s="19">
        <f t="shared" si="2"/>
        <v>0</v>
      </c>
      <c r="Q66" s="19">
        <f t="shared" si="3"/>
        <v>1</v>
      </c>
    </row>
    <row r="67" spans="2:17" x14ac:dyDescent="0.2">
      <c r="B67" s="149">
        <v>101020092</v>
      </c>
      <c r="C67" s="149" t="s">
        <v>379</v>
      </c>
      <c r="D67" s="150" t="s">
        <v>54</v>
      </c>
      <c r="E67" s="151">
        <v>3.3</v>
      </c>
      <c r="F67" s="151">
        <v>88</v>
      </c>
      <c r="G67" s="151">
        <v>290.39999999999998</v>
      </c>
      <c r="H67" s="151">
        <v>88</v>
      </c>
      <c r="I67" s="151">
        <v>290.39999999999998</v>
      </c>
      <c r="J67" s="151">
        <v>0</v>
      </c>
      <c r="K67" s="151">
        <v>0</v>
      </c>
      <c r="L67" s="58">
        <f>IF(K67&gt;=0,K67,0)</f>
        <v>0</v>
      </c>
      <c r="M67" s="58">
        <f>IF(K67&lt;=0,K67,0)</f>
        <v>0</v>
      </c>
      <c r="N67" s="58">
        <f>L67+-M67</f>
        <v>0</v>
      </c>
      <c r="O67" s="19"/>
      <c r="P67" s="19">
        <f t="shared" si="2"/>
        <v>0</v>
      </c>
      <c r="Q67" s="19">
        <f t="shared" si="3"/>
        <v>1</v>
      </c>
    </row>
    <row r="68" spans="2:17" x14ac:dyDescent="0.2">
      <c r="B68" s="149">
        <v>10204040821</v>
      </c>
      <c r="C68" s="149" t="s">
        <v>195</v>
      </c>
      <c r="D68" s="150" t="s">
        <v>59</v>
      </c>
      <c r="E68" s="151">
        <v>3.86</v>
      </c>
      <c r="F68" s="152">
        <v>1943</v>
      </c>
      <c r="G68" s="152">
        <v>7499.98</v>
      </c>
      <c r="H68" s="152">
        <v>1943</v>
      </c>
      <c r="I68" s="152">
        <v>7499.98</v>
      </c>
      <c r="J68" s="151">
        <v>0</v>
      </c>
      <c r="K68" s="151">
        <v>0</v>
      </c>
      <c r="L68" s="58">
        <f>IF(K68&gt;=0,K68,0)</f>
        <v>0</v>
      </c>
      <c r="M68" s="58">
        <f>IF(K68&lt;=0,K68,0)</f>
        <v>0</v>
      </c>
      <c r="N68" s="58">
        <f>L68+-M68</f>
        <v>0</v>
      </c>
      <c r="O68" s="19"/>
      <c r="P68" s="19">
        <f t="shared" si="2"/>
        <v>0</v>
      </c>
      <c r="Q68" s="19">
        <f t="shared" si="3"/>
        <v>1</v>
      </c>
    </row>
    <row r="69" spans="2:17" x14ac:dyDescent="0.2">
      <c r="B69" s="149">
        <v>101040070</v>
      </c>
      <c r="C69" s="149" t="s">
        <v>304</v>
      </c>
      <c r="D69" s="150" t="s">
        <v>54</v>
      </c>
      <c r="E69" s="151">
        <v>39.076000000000001</v>
      </c>
      <c r="F69" s="151">
        <v>9</v>
      </c>
      <c r="G69" s="151">
        <v>351.68400000000003</v>
      </c>
      <c r="H69" s="151">
        <v>9</v>
      </c>
      <c r="I69" s="151">
        <v>351.68400000000003</v>
      </c>
      <c r="J69" s="151">
        <v>0</v>
      </c>
      <c r="K69" s="151">
        <v>0</v>
      </c>
      <c r="L69" s="58">
        <f>IF(K69&gt;=0,K69,0)</f>
        <v>0</v>
      </c>
      <c r="M69" s="58">
        <f>IF(K69&lt;=0,K69,0)</f>
        <v>0</v>
      </c>
      <c r="N69" s="58">
        <f>L69+-M69</f>
        <v>0</v>
      </c>
      <c r="O69" s="19"/>
      <c r="P69" s="19">
        <f t="shared" si="2"/>
        <v>0</v>
      </c>
      <c r="Q69" s="19">
        <f t="shared" si="3"/>
        <v>1</v>
      </c>
    </row>
    <row r="70" spans="2:17" x14ac:dyDescent="0.2">
      <c r="B70" s="149">
        <v>1010430285</v>
      </c>
      <c r="C70" s="149" t="s">
        <v>436</v>
      </c>
      <c r="D70" s="150" t="s">
        <v>54</v>
      </c>
      <c r="E70" s="151">
        <v>29</v>
      </c>
      <c r="F70" s="151">
        <v>29</v>
      </c>
      <c r="G70" s="151">
        <v>841</v>
      </c>
      <c r="H70" s="151">
        <v>29</v>
      </c>
      <c r="I70" s="151">
        <v>841</v>
      </c>
      <c r="J70" s="151">
        <v>0</v>
      </c>
      <c r="K70" s="151">
        <v>0</v>
      </c>
      <c r="L70" s="58">
        <f>IF(K70&gt;=0,K70,0)</f>
        <v>0</v>
      </c>
      <c r="M70" s="58">
        <f>IF(K70&lt;=0,K70,0)</f>
        <v>0</v>
      </c>
      <c r="N70" s="58">
        <f>L70+-M70</f>
        <v>0</v>
      </c>
      <c r="O70" s="19"/>
      <c r="P70" s="19">
        <f t="shared" si="2"/>
        <v>0</v>
      </c>
      <c r="Q70" s="19">
        <f t="shared" si="3"/>
        <v>1</v>
      </c>
    </row>
    <row r="71" spans="2:17" x14ac:dyDescent="0.2">
      <c r="B71" s="149">
        <v>1010434914</v>
      </c>
      <c r="C71" s="149" t="s">
        <v>61</v>
      </c>
      <c r="D71" s="150" t="s">
        <v>56</v>
      </c>
      <c r="E71" s="151">
        <v>135.52395999999999</v>
      </c>
      <c r="F71" s="151">
        <v>22</v>
      </c>
      <c r="G71" s="152">
        <v>2981.5271200000002</v>
      </c>
      <c r="H71" s="151">
        <v>22</v>
      </c>
      <c r="I71" s="152">
        <v>2981.5271200000002</v>
      </c>
      <c r="J71" s="151">
        <v>0</v>
      </c>
      <c r="K71" s="151">
        <v>0</v>
      </c>
      <c r="L71" s="58">
        <f>IF(K71&gt;=0,K71,0)</f>
        <v>0</v>
      </c>
      <c r="M71" s="58">
        <f>IF(K71&lt;=0,K71,0)</f>
        <v>0</v>
      </c>
      <c r="N71" s="58">
        <f>L71+-M71</f>
        <v>0</v>
      </c>
      <c r="O71" s="19"/>
      <c r="P71" s="19">
        <f t="shared" ref="P71:P82" si="4">N71/$N$1055</f>
        <v>0</v>
      </c>
      <c r="Q71" s="19">
        <f t="shared" ref="Q71:Q82" si="5">P71+Q70</f>
        <v>1</v>
      </c>
    </row>
    <row r="72" spans="2:17" x14ac:dyDescent="0.2">
      <c r="B72" s="149">
        <v>102010051</v>
      </c>
      <c r="C72" s="149" t="s">
        <v>63</v>
      </c>
      <c r="D72" s="150" t="s">
        <v>51</v>
      </c>
      <c r="E72" s="151">
        <v>1.93</v>
      </c>
      <c r="F72" s="151">
        <v>138.53</v>
      </c>
      <c r="G72" s="151">
        <v>267.36290000000002</v>
      </c>
      <c r="H72" s="151">
        <v>138.53</v>
      </c>
      <c r="I72" s="151">
        <v>267.36290000000002</v>
      </c>
      <c r="J72" s="151">
        <v>0</v>
      </c>
      <c r="K72" s="151">
        <v>0</v>
      </c>
      <c r="L72" s="58">
        <f>IF(K72&gt;=0,K72,0)</f>
        <v>0</v>
      </c>
      <c r="M72" s="58">
        <f>IF(K72&lt;=0,K72,0)</f>
        <v>0</v>
      </c>
      <c r="N72" s="58">
        <f>L72+-M72</f>
        <v>0</v>
      </c>
      <c r="O72" s="19"/>
      <c r="P72" s="19">
        <f t="shared" si="4"/>
        <v>0</v>
      </c>
      <c r="Q72" s="19">
        <f t="shared" si="5"/>
        <v>1</v>
      </c>
    </row>
    <row r="73" spans="2:17" x14ac:dyDescent="0.2">
      <c r="B73" s="149">
        <v>10208040227</v>
      </c>
      <c r="C73" s="149" t="s">
        <v>244</v>
      </c>
      <c r="D73" s="150" t="s">
        <v>54</v>
      </c>
      <c r="E73" s="151">
        <v>2.5099999999999998</v>
      </c>
      <c r="F73" s="151">
        <v>3</v>
      </c>
      <c r="G73" s="151">
        <v>7.53</v>
      </c>
      <c r="H73" s="151">
        <v>3</v>
      </c>
      <c r="I73" s="151">
        <v>7.53</v>
      </c>
      <c r="J73" s="151">
        <v>0</v>
      </c>
      <c r="K73" s="151">
        <v>0</v>
      </c>
      <c r="L73" s="58">
        <f>IF(K73&gt;=0,K73,0)</f>
        <v>0</v>
      </c>
      <c r="M73" s="58">
        <f>IF(K73&lt;=0,K73,0)</f>
        <v>0</v>
      </c>
      <c r="N73" s="58">
        <f>L73+-M73</f>
        <v>0</v>
      </c>
      <c r="O73" s="19"/>
      <c r="P73" s="19">
        <f t="shared" si="4"/>
        <v>0</v>
      </c>
      <c r="Q73" s="19">
        <f t="shared" si="5"/>
        <v>1</v>
      </c>
    </row>
    <row r="74" spans="2:17" x14ac:dyDescent="0.2">
      <c r="B74" s="149">
        <v>230101038610</v>
      </c>
      <c r="C74" s="149" t="s">
        <v>273</v>
      </c>
      <c r="D74" s="150" t="s">
        <v>58</v>
      </c>
      <c r="E74" s="151">
        <v>2.94</v>
      </c>
      <c r="F74" s="151">
        <v>60</v>
      </c>
      <c r="G74" s="151">
        <v>176.4</v>
      </c>
      <c r="H74" s="151">
        <v>60</v>
      </c>
      <c r="I74" s="151">
        <v>176.4</v>
      </c>
      <c r="J74" s="151">
        <v>0</v>
      </c>
      <c r="K74" s="151">
        <v>0</v>
      </c>
      <c r="L74" s="58">
        <f>IF(K74&gt;=0,K74,0)</f>
        <v>0</v>
      </c>
      <c r="M74" s="58">
        <f>IF(K74&lt;=0,K74,0)</f>
        <v>0</v>
      </c>
      <c r="N74" s="58">
        <f>L74+-M74</f>
        <v>0</v>
      </c>
      <c r="O74" s="19"/>
      <c r="P74" s="19">
        <f t="shared" si="4"/>
        <v>0</v>
      </c>
      <c r="Q74" s="19">
        <f t="shared" si="5"/>
        <v>1</v>
      </c>
    </row>
    <row r="75" spans="2:17" x14ac:dyDescent="0.2">
      <c r="B75" s="149">
        <v>6020137210</v>
      </c>
      <c r="C75" s="149" t="s">
        <v>64</v>
      </c>
      <c r="D75" s="150" t="s">
        <v>65</v>
      </c>
      <c r="E75" s="151">
        <v>205.39977300000001</v>
      </c>
      <c r="F75" s="151">
        <v>3.86</v>
      </c>
      <c r="G75" s="151">
        <v>792.84312399999999</v>
      </c>
      <c r="H75" s="151">
        <v>3.86</v>
      </c>
      <c r="I75" s="151">
        <v>792.84312399999999</v>
      </c>
      <c r="J75" s="151">
        <v>0</v>
      </c>
      <c r="K75" s="151">
        <v>0</v>
      </c>
      <c r="L75" s="58">
        <f>IF(K75&gt;=0,K75,0)</f>
        <v>0</v>
      </c>
      <c r="M75" s="58">
        <f>IF(K75&lt;=0,K75,0)</f>
        <v>0</v>
      </c>
      <c r="N75" s="58">
        <f>L75+-M75</f>
        <v>0</v>
      </c>
      <c r="O75" s="19"/>
      <c r="P75" s="19">
        <f t="shared" si="4"/>
        <v>0</v>
      </c>
      <c r="Q75" s="19">
        <f t="shared" si="5"/>
        <v>1</v>
      </c>
    </row>
    <row r="76" spans="2:17" x14ac:dyDescent="0.2">
      <c r="B76" s="149" t="s">
        <v>214</v>
      </c>
      <c r="C76" s="149" t="s">
        <v>215</v>
      </c>
      <c r="D76" s="150" t="s">
        <v>65</v>
      </c>
      <c r="E76" s="151">
        <v>46.667000000000002</v>
      </c>
      <c r="F76" s="151">
        <v>6.5460000000000003</v>
      </c>
      <c r="G76" s="151">
        <v>305.48218200000002</v>
      </c>
      <c r="H76" s="151">
        <v>6.5460000000000003</v>
      </c>
      <c r="I76" s="151">
        <v>305.48218200000002</v>
      </c>
      <c r="J76" s="151">
        <v>0</v>
      </c>
      <c r="K76" s="151">
        <v>0</v>
      </c>
      <c r="L76" s="58">
        <f>IF(K76&gt;=0,K76,0)</f>
        <v>0</v>
      </c>
      <c r="M76" s="58">
        <f>IF(K76&lt;=0,K76,0)</f>
        <v>0</v>
      </c>
      <c r="N76" s="58">
        <f>L76+-M76</f>
        <v>0</v>
      </c>
      <c r="O76" s="19"/>
      <c r="P76" s="19">
        <f t="shared" si="4"/>
        <v>0</v>
      </c>
      <c r="Q76" s="19">
        <f t="shared" si="5"/>
        <v>1</v>
      </c>
    </row>
    <row r="77" spans="2:17" x14ac:dyDescent="0.2">
      <c r="B77" s="149">
        <v>6020136488</v>
      </c>
      <c r="C77" s="149" t="s">
        <v>305</v>
      </c>
      <c r="D77" s="150" t="s">
        <v>65</v>
      </c>
      <c r="E77" s="151">
        <v>52.859000000000002</v>
      </c>
      <c r="F77" s="151">
        <v>2</v>
      </c>
      <c r="G77" s="151">
        <v>105.718</v>
      </c>
      <c r="H77" s="151">
        <v>2</v>
      </c>
      <c r="I77" s="151">
        <v>105.718</v>
      </c>
      <c r="J77" s="151">
        <v>0</v>
      </c>
      <c r="K77" s="151">
        <v>0</v>
      </c>
      <c r="L77" s="58">
        <f>IF(K77&gt;=0,K77,0)</f>
        <v>0</v>
      </c>
      <c r="M77" s="58">
        <f>IF(K77&lt;=0,K77,0)</f>
        <v>0</v>
      </c>
      <c r="N77" s="58">
        <f>L77+-M77</f>
        <v>0</v>
      </c>
      <c r="O77" s="19"/>
      <c r="P77" s="19">
        <f t="shared" si="4"/>
        <v>0</v>
      </c>
      <c r="Q77" s="19">
        <f t="shared" si="5"/>
        <v>1</v>
      </c>
    </row>
    <row r="78" spans="2:17" x14ac:dyDescent="0.2">
      <c r="B78" s="149">
        <v>6020136489</v>
      </c>
      <c r="C78" s="149" t="s">
        <v>245</v>
      </c>
      <c r="D78" s="150" t="s">
        <v>65</v>
      </c>
      <c r="E78" s="151">
        <v>52.859000000000002</v>
      </c>
      <c r="F78" s="151">
        <v>6</v>
      </c>
      <c r="G78" s="151">
        <v>317.154</v>
      </c>
      <c r="H78" s="151">
        <v>6</v>
      </c>
      <c r="I78" s="151">
        <v>317.154</v>
      </c>
      <c r="J78" s="151">
        <v>0</v>
      </c>
      <c r="K78" s="151">
        <v>0</v>
      </c>
      <c r="L78" s="58">
        <f>IF(K78&gt;=0,K78,0)</f>
        <v>0</v>
      </c>
      <c r="M78" s="58">
        <f>IF(K78&lt;=0,K78,0)</f>
        <v>0</v>
      </c>
      <c r="N78" s="58">
        <f>L78+-M78</f>
        <v>0</v>
      </c>
      <c r="O78" s="19"/>
      <c r="P78" s="19">
        <f t="shared" si="4"/>
        <v>0</v>
      </c>
      <c r="Q78" s="19">
        <f t="shared" si="5"/>
        <v>1</v>
      </c>
    </row>
    <row r="79" spans="2:17" x14ac:dyDescent="0.2">
      <c r="B79" s="149">
        <v>6020136490</v>
      </c>
      <c r="C79" s="149" t="s">
        <v>274</v>
      </c>
      <c r="D79" s="150" t="s">
        <v>65</v>
      </c>
      <c r="E79" s="151">
        <v>52.859000000000002</v>
      </c>
      <c r="F79" s="151">
        <v>23</v>
      </c>
      <c r="G79" s="152">
        <v>1215.7570000000001</v>
      </c>
      <c r="H79" s="151">
        <v>23</v>
      </c>
      <c r="I79" s="152">
        <v>1215.7570000000001</v>
      </c>
      <c r="J79" s="151">
        <v>0</v>
      </c>
      <c r="K79" s="151">
        <v>0</v>
      </c>
      <c r="L79" s="58">
        <f>IF(K79&gt;=0,K79,0)</f>
        <v>0</v>
      </c>
      <c r="M79" s="58">
        <f>IF(K79&lt;=0,K79,0)</f>
        <v>0</v>
      </c>
      <c r="N79" s="58">
        <f>L79+-M79</f>
        <v>0</v>
      </c>
      <c r="O79" s="19"/>
      <c r="P79" s="19">
        <f t="shared" si="4"/>
        <v>0</v>
      </c>
      <c r="Q79" s="19">
        <f t="shared" si="5"/>
        <v>1</v>
      </c>
    </row>
    <row r="80" spans="2:17" x14ac:dyDescent="0.2">
      <c r="B80" s="149">
        <v>6020136491</v>
      </c>
      <c r="C80" s="149" t="s">
        <v>184</v>
      </c>
      <c r="D80" s="150" t="s">
        <v>65</v>
      </c>
      <c r="E80" s="151">
        <v>52.859000000000002</v>
      </c>
      <c r="F80" s="151">
        <v>3</v>
      </c>
      <c r="G80" s="151">
        <v>158.577</v>
      </c>
      <c r="H80" s="151">
        <v>3</v>
      </c>
      <c r="I80" s="151">
        <v>158.577</v>
      </c>
      <c r="J80" s="151">
        <v>0</v>
      </c>
      <c r="K80" s="151">
        <v>0</v>
      </c>
      <c r="L80" s="58">
        <f>IF(K80&gt;=0,K80,0)</f>
        <v>0</v>
      </c>
      <c r="M80" s="58">
        <f>IF(K80&lt;=0,K80,0)</f>
        <v>0</v>
      </c>
      <c r="N80" s="58">
        <f>L80+-M80</f>
        <v>0</v>
      </c>
      <c r="O80" s="19"/>
      <c r="P80" s="19">
        <f t="shared" si="4"/>
        <v>0</v>
      </c>
      <c r="Q80" s="19">
        <f t="shared" si="5"/>
        <v>1</v>
      </c>
    </row>
    <row r="81" spans="2:17" x14ac:dyDescent="0.2">
      <c r="B81" s="149">
        <v>6020136492</v>
      </c>
      <c r="C81" s="149" t="s">
        <v>246</v>
      </c>
      <c r="D81" s="150" t="s">
        <v>65</v>
      </c>
      <c r="E81" s="151">
        <v>36.280999999999999</v>
      </c>
      <c r="F81" s="151">
        <v>5</v>
      </c>
      <c r="G81" s="151">
        <v>181.405</v>
      </c>
      <c r="H81" s="151">
        <v>5</v>
      </c>
      <c r="I81" s="151">
        <v>181.405</v>
      </c>
      <c r="J81" s="151">
        <v>0</v>
      </c>
      <c r="K81" s="151">
        <v>0</v>
      </c>
      <c r="L81" s="58">
        <f>IF(K81&gt;=0,K81,0)</f>
        <v>0</v>
      </c>
      <c r="M81" s="58">
        <f>IF(K81&lt;=0,K81,0)</f>
        <v>0</v>
      </c>
      <c r="N81" s="58">
        <f>L81+-M81</f>
        <v>0</v>
      </c>
      <c r="O81" s="19"/>
      <c r="P81" s="19">
        <f t="shared" si="4"/>
        <v>0</v>
      </c>
      <c r="Q81" s="19">
        <f t="shared" si="5"/>
        <v>1</v>
      </c>
    </row>
    <row r="82" spans="2:17" x14ac:dyDescent="0.2">
      <c r="B82" s="149">
        <v>6020136494</v>
      </c>
      <c r="C82" s="149" t="s">
        <v>437</v>
      </c>
      <c r="D82" s="150" t="s">
        <v>65</v>
      </c>
      <c r="E82" s="151">
        <v>52.859000000000002</v>
      </c>
      <c r="F82" s="151">
        <v>3</v>
      </c>
      <c r="G82" s="151">
        <v>158.577</v>
      </c>
      <c r="H82" s="151">
        <v>3</v>
      </c>
      <c r="I82" s="151">
        <v>158.577</v>
      </c>
      <c r="J82" s="151">
        <v>0</v>
      </c>
      <c r="K82" s="151">
        <v>0</v>
      </c>
      <c r="L82" s="58">
        <f>IF(K82&gt;=0,K82,0)</f>
        <v>0</v>
      </c>
      <c r="M82" s="58">
        <f>IF(K82&lt;=0,K82,0)</f>
        <v>0</v>
      </c>
      <c r="N82" s="58">
        <f>L82+-M82</f>
        <v>0</v>
      </c>
      <c r="O82" s="19"/>
      <c r="P82" s="19">
        <f t="shared" si="4"/>
        <v>0</v>
      </c>
      <c r="Q82" s="19">
        <f t="shared" si="5"/>
        <v>1</v>
      </c>
    </row>
    <row r="83" spans="2:17" x14ac:dyDescent="0.2">
      <c r="B83" s="149" t="s">
        <v>247</v>
      </c>
      <c r="C83" s="149" t="s">
        <v>248</v>
      </c>
      <c r="D83" s="150" t="s">
        <v>65</v>
      </c>
      <c r="E83" s="151">
        <v>2.3730000000000002</v>
      </c>
      <c r="F83" s="151">
        <v>20</v>
      </c>
      <c r="G83" s="151">
        <v>47.46</v>
      </c>
      <c r="H83" s="151">
        <v>20</v>
      </c>
      <c r="I83" s="151">
        <v>47.46</v>
      </c>
      <c r="J83" s="151">
        <v>0</v>
      </c>
      <c r="K83" s="151">
        <v>0</v>
      </c>
      <c r="L83" s="58">
        <f>IF(K83&gt;=0,K83,0)</f>
        <v>0</v>
      </c>
      <c r="M83" s="58">
        <f>IF(K83&lt;=0,K83,0)</f>
        <v>0</v>
      </c>
      <c r="N83" s="58">
        <f>L83+-M83</f>
        <v>0</v>
      </c>
      <c r="O83" s="19"/>
      <c r="P83" s="19">
        <f t="shared" ref="P83:P134" si="6">N83/$N$1055</f>
        <v>0</v>
      </c>
      <c r="Q83" s="19">
        <f t="shared" ref="Q83:Q134" si="7">P83+Q82</f>
        <v>1</v>
      </c>
    </row>
    <row r="84" spans="2:17" x14ac:dyDescent="0.2">
      <c r="B84" s="149" t="s">
        <v>216</v>
      </c>
      <c r="C84" s="149" t="s">
        <v>217</v>
      </c>
      <c r="D84" s="150" t="s">
        <v>65</v>
      </c>
      <c r="E84" s="151">
        <v>48.533000000000001</v>
      </c>
      <c r="F84" s="151">
        <v>1</v>
      </c>
      <c r="G84" s="151">
        <v>48.533000000000001</v>
      </c>
      <c r="H84" s="151">
        <v>1</v>
      </c>
      <c r="I84" s="151">
        <v>48.533000000000001</v>
      </c>
      <c r="J84" s="151">
        <v>0</v>
      </c>
      <c r="K84" s="151">
        <v>0</v>
      </c>
      <c r="L84" s="58">
        <f>IF(K84&gt;=0,K84,0)</f>
        <v>0</v>
      </c>
      <c r="M84" s="58">
        <f>IF(K84&lt;=0,K84,0)</f>
        <v>0</v>
      </c>
      <c r="N84" s="58">
        <f>L84+-M84</f>
        <v>0</v>
      </c>
      <c r="O84" s="19"/>
      <c r="P84" s="19">
        <f t="shared" si="6"/>
        <v>0</v>
      </c>
      <c r="Q84" s="19">
        <f t="shared" si="7"/>
        <v>1</v>
      </c>
    </row>
    <row r="85" spans="2:17" x14ac:dyDescent="0.2">
      <c r="B85" s="149">
        <v>6020122004</v>
      </c>
      <c r="C85" s="149" t="s">
        <v>306</v>
      </c>
      <c r="D85" s="150" t="s">
        <v>65</v>
      </c>
      <c r="E85" s="151">
        <v>11.343996000000001</v>
      </c>
      <c r="F85" s="151">
        <v>41</v>
      </c>
      <c r="G85" s="151">
        <v>465.103836</v>
      </c>
      <c r="H85" s="151">
        <v>41</v>
      </c>
      <c r="I85" s="151">
        <v>465.103836</v>
      </c>
      <c r="J85" s="151">
        <v>0</v>
      </c>
      <c r="K85" s="151">
        <v>0</v>
      </c>
      <c r="L85" s="58">
        <f>IF(K85&gt;=0,K85,0)</f>
        <v>0</v>
      </c>
      <c r="M85" s="58">
        <f>IF(K85&lt;=0,K85,0)</f>
        <v>0</v>
      </c>
      <c r="N85" s="58">
        <f>L85+-M85</f>
        <v>0</v>
      </c>
      <c r="O85" s="19"/>
      <c r="P85" s="19">
        <f t="shared" si="6"/>
        <v>0</v>
      </c>
      <c r="Q85" s="19">
        <f t="shared" si="7"/>
        <v>1</v>
      </c>
    </row>
    <row r="86" spans="2:17" x14ac:dyDescent="0.2">
      <c r="B86" s="149">
        <v>60201040230</v>
      </c>
      <c r="C86" s="149" t="s">
        <v>380</v>
      </c>
      <c r="D86" s="150" t="s">
        <v>65</v>
      </c>
      <c r="E86" s="151">
        <v>102.752</v>
      </c>
      <c r="F86" s="151">
        <v>6</v>
      </c>
      <c r="G86" s="151">
        <v>616.51199999999994</v>
      </c>
      <c r="H86" s="151">
        <v>6</v>
      </c>
      <c r="I86" s="151">
        <v>616.51199999999994</v>
      </c>
      <c r="J86" s="151">
        <v>0</v>
      </c>
      <c r="K86" s="151">
        <v>0</v>
      </c>
      <c r="L86" s="58">
        <f>IF(K86&gt;=0,K86,0)</f>
        <v>0</v>
      </c>
      <c r="M86" s="58">
        <f>IF(K86&lt;=0,K86,0)</f>
        <v>0</v>
      </c>
      <c r="N86" s="58">
        <f>L86+-M86</f>
        <v>0</v>
      </c>
      <c r="O86" s="19"/>
      <c r="P86" s="19">
        <f t="shared" si="6"/>
        <v>0</v>
      </c>
      <c r="Q86" s="19">
        <f t="shared" si="7"/>
        <v>1</v>
      </c>
    </row>
    <row r="87" spans="2:17" x14ac:dyDescent="0.2">
      <c r="B87" s="149">
        <v>101090054</v>
      </c>
      <c r="C87" s="149" t="s">
        <v>408</v>
      </c>
      <c r="D87" s="150" t="s">
        <v>409</v>
      </c>
      <c r="E87" s="151">
        <v>22</v>
      </c>
      <c r="F87" s="151">
        <v>36</v>
      </c>
      <c r="G87" s="151">
        <v>792</v>
      </c>
      <c r="H87" s="151">
        <v>36</v>
      </c>
      <c r="I87" s="151">
        <v>792</v>
      </c>
      <c r="J87" s="151">
        <v>0</v>
      </c>
      <c r="K87" s="151">
        <v>0</v>
      </c>
      <c r="L87" s="58">
        <f>IF(K87&gt;=0,K87,0)</f>
        <v>0</v>
      </c>
      <c r="M87" s="58">
        <f>IF(K87&lt;=0,K87,0)</f>
        <v>0</v>
      </c>
      <c r="N87" s="58">
        <f>L87+-M87</f>
        <v>0</v>
      </c>
      <c r="O87" s="19"/>
      <c r="P87" s="19">
        <f t="shared" si="6"/>
        <v>0</v>
      </c>
      <c r="Q87" s="19">
        <f t="shared" si="7"/>
        <v>1</v>
      </c>
    </row>
    <row r="88" spans="2:17" x14ac:dyDescent="0.2">
      <c r="B88" s="149">
        <v>103030156</v>
      </c>
      <c r="C88" s="149" t="s">
        <v>68</v>
      </c>
      <c r="D88" s="150" t="s">
        <v>51</v>
      </c>
      <c r="E88" s="151">
        <v>14.484437</v>
      </c>
      <c r="F88" s="151">
        <v>115</v>
      </c>
      <c r="G88" s="152">
        <v>1665.710255</v>
      </c>
      <c r="H88" s="151">
        <v>115</v>
      </c>
      <c r="I88" s="152">
        <v>1665.710255</v>
      </c>
      <c r="J88" s="151">
        <v>0</v>
      </c>
      <c r="K88" s="151">
        <v>0</v>
      </c>
      <c r="L88" s="58">
        <f>IF(K88&gt;=0,K88,0)</f>
        <v>0</v>
      </c>
      <c r="M88" s="58">
        <f>IF(K88&lt;=0,K88,0)</f>
        <v>0</v>
      </c>
      <c r="N88" s="58">
        <f>L88+-M88</f>
        <v>0</v>
      </c>
      <c r="O88" s="19"/>
      <c r="P88" s="19">
        <f t="shared" si="6"/>
        <v>0</v>
      </c>
      <c r="Q88" s="19">
        <f t="shared" si="7"/>
        <v>1</v>
      </c>
    </row>
    <row r="89" spans="2:17" x14ac:dyDescent="0.2">
      <c r="B89" s="149">
        <v>60203042744</v>
      </c>
      <c r="C89" s="149" t="s">
        <v>307</v>
      </c>
      <c r="D89" s="150" t="s">
        <v>65</v>
      </c>
      <c r="E89" s="151">
        <v>102.983</v>
      </c>
      <c r="F89" s="151">
        <v>6</v>
      </c>
      <c r="G89" s="151">
        <v>617.89800000000002</v>
      </c>
      <c r="H89" s="151">
        <v>6</v>
      </c>
      <c r="I89" s="151">
        <v>617.89800000000002</v>
      </c>
      <c r="J89" s="151">
        <v>0</v>
      </c>
      <c r="K89" s="151">
        <v>0</v>
      </c>
      <c r="L89" s="58">
        <f>IF(K89&gt;=0,K89,0)</f>
        <v>0</v>
      </c>
      <c r="M89" s="58">
        <f>IF(K89&lt;=0,K89,0)</f>
        <v>0</v>
      </c>
      <c r="N89" s="58">
        <f>L89+-M89</f>
        <v>0</v>
      </c>
      <c r="O89" s="19"/>
      <c r="P89" s="19">
        <f t="shared" si="6"/>
        <v>0</v>
      </c>
      <c r="Q89" s="19">
        <f t="shared" si="7"/>
        <v>1</v>
      </c>
    </row>
    <row r="90" spans="2:17" x14ac:dyDescent="0.2">
      <c r="B90" s="149">
        <v>40303037035</v>
      </c>
      <c r="C90" s="149" t="s">
        <v>308</v>
      </c>
      <c r="D90" s="150" t="s">
        <v>51</v>
      </c>
      <c r="E90" s="151">
        <v>10.550495</v>
      </c>
      <c r="F90" s="151">
        <v>107</v>
      </c>
      <c r="G90" s="152">
        <v>1128.902965</v>
      </c>
      <c r="H90" s="151">
        <v>107</v>
      </c>
      <c r="I90" s="152">
        <v>1128.902965</v>
      </c>
      <c r="J90" s="151">
        <v>0</v>
      </c>
      <c r="K90" s="151">
        <v>0</v>
      </c>
      <c r="L90" s="58">
        <f>IF(K90&gt;=0,K90,0)</f>
        <v>0</v>
      </c>
      <c r="M90" s="58">
        <f>IF(K90&lt;=0,K90,0)</f>
        <v>0</v>
      </c>
      <c r="N90" s="58">
        <f>L90+-M90</f>
        <v>0</v>
      </c>
      <c r="O90" s="19"/>
      <c r="P90" s="19">
        <f t="shared" si="6"/>
        <v>0</v>
      </c>
      <c r="Q90" s="19">
        <f t="shared" si="7"/>
        <v>1</v>
      </c>
    </row>
    <row r="91" spans="2:17" x14ac:dyDescent="0.2">
      <c r="B91" s="149">
        <v>10201042848</v>
      </c>
      <c r="C91" s="149" t="s">
        <v>309</v>
      </c>
      <c r="D91" s="150" t="s">
        <v>58</v>
      </c>
      <c r="E91" s="151">
        <v>18.369399999999999</v>
      </c>
      <c r="F91" s="151">
        <v>17</v>
      </c>
      <c r="G91" s="151">
        <v>312.27980000000002</v>
      </c>
      <c r="H91" s="151">
        <v>17</v>
      </c>
      <c r="I91" s="151">
        <v>312.27980000000002</v>
      </c>
      <c r="J91" s="151">
        <v>0</v>
      </c>
      <c r="K91" s="151">
        <v>0</v>
      </c>
      <c r="L91" s="58">
        <f>IF(K91&gt;=0,K91,0)</f>
        <v>0</v>
      </c>
      <c r="M91" s="58">
        <f>IF(K91&lt;=0,K91,0)</f>
        <v>0</v>
      </c>
      <c r="N91" s="58">
        <f>L91+-M91</f>
        <v>0</v>
      </c>
      <c r="O91" s="19"/>
      <c r="P91" s="19">
        <f t="shared" si="6"/>
        <v>0</v>
      </c>
      <c r="Q91" s="19">
        <f t="shared" si="7"/>
        <v>1</v>
      </c>
    </row>
    <row r="92" spans="2:17" x14ac:dyDescent="0.2">
      <c r="B92" s="149">
        <v>10201039943</v>
      </c>
      <c r="C92" s="149" t="s">
        <v>349</v>
      </c>
      <c r="D92" s="150" t="s">
        <v>58</v>
      </c>
      <c r="E92" s="151">
        <v>0.27</v>
      </c>
      <c r="F92" s="151">
        <v>600</v>
      </c>
      <c r="G92" s="151">
        <v>162</v>
      </c>
      <c r="H92" s="151">
        <v>600</v>
      </c>
      <c r="I92" s="151">
        <v>162</v>
      </c>
      <c r="J92" s="151">
        <v>0</v>
      </c>
      <c r="K92" s="151">
        <v>0</v>
      </c>
      <c r="L92" s="58">
        <f>IF(K92&gt;=0,K92,0)</f>
        <v>0</v>
      </c>
      <c r="M92" s="58">
        <f>IF(K92&lt;=0,K92,0)</f>
        <v>0</v>
      </c>
      <c r="N92" s="58">
        <f>L92+-M92</f>
        <v>0</v>
      </c>
      <c r="O92" s="19"/>
      <c r="P92" s="19">
        <f t="shared" si="6"/>
        <v>0</v>
      </c>
      <c r="Q92" s="19">
        <f t="shared" si="7"/>
        <v>1</v>
      </c>
    </row>
    <row r="93" spans="2:17" x14ac:dyDescent="0.2">
      <c r="B93" s="149">
        <v>101040511</v>
      </c>
      <c r="C93" s="149" t="s">
        <v>438</v>
      </c>
      <c r="D93" s="150" t="s">
        <v>54</v>
      </c>
      <c r="E93" s="151">
        <v>140.35499999999999</v>
      </c>
      <c r="F93" s="151">
        <v>2</v>
      </c>
      <c r="G93" s="151">
        <v>280.70999999999998</v>
      </c>
      <c r="H93" s="151">
        <v>2</v>
      </c>
      <c r="I93" s="151">
        <v>280.70999999999998</v>
      </c>
      <c r="J93" s="151">
        <v>0</v>
      </c>
      <c r="K93" s="151">
        <v>0</v>
      </c>
      <c r="L93" s="58">
        <f>IF(K93&gt;=0,K93,0)</f>
        <v>0</v>
      </c>
      <c r="M93" s="58">
        <f>IF(K93&lt;=0,K93,0)</f>
        <v>0</v>
      </c>
      <c r="N93" s="58">
        <f>L93+-M93</f>
        <v>0</v>
      </c>
      <c r="O93" s="19"/>
      <c r="P93" s="19">
        <f t="shared" si="6"/>
        <v>0</v>
      </c>
      <c r="Q93" s="19">
        <f t="shared" si="7"/>
        <v>1</v>
      </c>
    </row>
    <row r="94" spans="2:17" x14ac:dyDescent="0.2">
      <c r="B94" s="149">
        <v>101040103</v>
      </c>
      <c r="C94" s="149" t="s">
        <v>310</v>
      </c>
      <c r="D94" s="150" t="s">
        <v>51</v>
      </c>
      <c r="E94" s="151">
        <v>48.305</v>
      </c>
      <c r="F94" s="151">
        <v>26</v>
      </c>
      <c r="G94" s="152">
        <v>1255.93</v>
      </c>
      <c r="H94" s="151">
        <v>26</v>
      </c>
      <c r="I94" s="152">
        <v>1255.93</v>
      </c>
      <c r="J94" s="151">
        <v>0</v>
      </c>
      <c r="K94" s="151">
        <v>0</v>
      </c>
      <c r="L94" s="58">
        <f>IF(K94&gt;=0,K94,0)</f>
        <v>0</v>
      </c>
      <c r="M94" s="58">
        <f>IF(K94&lt;=0,K94,0)</f>
        <v>0</v>
      </c>
      <c r="N94" s="58">
        <f>L94+-M94</f>
        <v>0</v>
      </c>
      <c r="O94" s="19"/>
      <c r="P94" s="19">
        <f t="shared" si="6"/>
        <v>0</v>
      </c>
      <c r="Q94" s="19">
        <f t="shared" si="7"/>
        <v>1</v>
      </c>
    </row>
    <row r="95" spans="2:17" x14ac:dyDescent="0.2">
      <c r="B95" s="149">
        <v>26981</v>
      </c>
      <c r="C95" s="149" t="s">
        <v>439</v>
      </c>
      <c r="D95" s="150" t="s">
        <v>58</v>
      </c>
      <c r="E95" s="151">
        <v>50.847000000000001</v>
      </c>
      <c r="F95" s="151">
        <v>6</v>
      </c>
      <c r="G95" s="151">
        <v>305.08199999999999</v>
      </c>
      <c r="H95" s="151">
        <v>6</v>
      </c>
      <c r="I95" s="151">
        <v>305.08199999999999</v>
      </c>
      <c r="J95" s="151">
        <v>0</v>
      </c>
      <c r="K95" s="151">
        <v>0</v>
      </c>
      <c r="L95" s="58">
        <f>IF(K95&gt;=0,K95,0)</f>
        <v>0</v>
      </c>
      <c r="M95" s="58">
        <f>IF(K95&lt;=0,K95,0)</f>
        <v>0</v>
      </c>
      <c r="N95" s="58">
        <f>L95+-M95</f>
        <v>0</v>
      </c>
      <c r="O95" s="19"/>
      <c r="P95" s="19">
        <f t="shared" si="6"/>
        <v>0</v>
      </c>
      <c r="Q95" s="19">
        <f t="shared" si="7"/>
        <v>1</v>
      </c>
    </row>
    <row r="96" spans="2:17" x14ac:dyDescent="0.2">
      <c r="B96" s="149">
        <v>102010101</v>
      </c>
      <c r="C96" s="149" t="s">
        <v>440</v>
      </c>
      <c r="D96" s="150" t="s">
        <v>51</v>
      </c>
      <c r="E96" s="151">
        <v>3.59</v>
      </c>
      <c r="F96" s="151">
        <v>5.5</v>
      </c>
      <c r="G96" s="151">
        <v>19.745000000000001</v>
      </c>
      <c r="H96" s="151">
        <v>5.5</v>
      </c>
      <c r="I96" s="151">
        <v>19.745000000000001</v>
      </c>
      <c r="J96" s="151">
        <v>0</v>
      </c>
      <c r="K96" s="151">
        <v>0</v>
      </c>
      <c r="L96" s="58">
        <f>IF(K96&gt;=0,K96,0)</f>
        <v>0</v>
      </c>
      <c r="M96" s="58">
        <f>IF(K96&lt;=0,K96,0)</f>
        <v>0</v>
      </c>
      <c r="N96" s="58">
        <f>L96+-M96</f>
        <v>0</v>
      </c>
      <c r="O96" s="19"/>
      <c r="P96" s="19">
        <f t="shared" si="6"/>
        <v>0</v>
      </c>
      <c r="Q96" s="19">
        <f t="shared" si="7"/>
        <v>1</v>
      </c>
    </row>
    <row r="97" spans="2:17" x14ac:dyDescent="0.2">
      <c r="B97" s="149">
        <v>1020234873</v>
      </c>
      <c r="C97" s="149" t="s">
        <v>69</v>
      </c>
      <c r="D97" s="150" t="s">
        <v>54</v>
      </c>
      <c r="E97" s="151">
        <v>17.559999999999999</v>
      </c>
      <c r="F97" s="151">
        <v>1</v>
      </c>
      <c r="G97" s="151">
        <v>17.559999999999999</v>
      </c>
      <c r="H97" s="151">
        <v>1</v>
      </c>
      <c r="I97" s="151">
        <v>17.559999999999999</v>
      </c>
      <c r="J97" s="151">
        <v>0</v>
      </c>
      <c r="K97" s="151">
        <v>0</v>
      </c>
      <c r="L97" s="58">
        <f>IF(K97&gt;=0,K97,0)</f>
        <v>0</v>
      </c>
      <c r="M97" s="58">
        <f>IF(K97&lt;=0,K97,0)</f>
        <v>0</v>
      </c>
      <c r="N97" s="58">
        <f>L97+-M97</f>
        <v>0</v>
      </c>
      <c r="O97" s="19"/>
      <c r="P97" s="19">
        <f t="shared" si="6"/>
        <v>0</v>
      </c>
      <c r="Q97" s="19">
        <f t="shared" si="7"/>
        <v>1</v>
      </c>
    </row>
    <row r="98" spans="2:17" x14ac:dyDescent="0.2">
      <c r="B98" s="149">
        <v>1020234896</v>
      </c>
      <c r="C98" s="149" t="s">
        <v>70</v>
      </c>
      <c r="D98" s="150" t="s">
        <v>54</v>
      </c>
      <c r="E98" s="151">
        <v>17.559999999999999</v>
      </c>
      <c r="F98" s="151">
        <v>48</v>
      </c>
      <c r="G98" s="151">
        <v>842.88</v>
      </c>
      <c r="H98" s="151">
        <v>48</v>
      </c>
      <c r="I98" s="151">
        <v>842.88</v>
      </c>
      <c r="J98" s="151">
        <v>0</v>
      </c>
      <c r="K98" s="151">
        <v>0</v>
      </c>
      <c r="L98" s="58">
        <f>IF(K98&gt;=0,K98,0)</f>
        <v>0</v>
      </c>
      <c r="M98" s="58">
        <f>IF(K98&lt;=0,K98,0)</f>
        <v>0</v>
      </c>
      <c r="N98" s="58">
        <f>L98+-M98</f>
        <v>0</v>
      </c>
      <c r="O98" s="19"/>
      <c r="P98" s="19">
        <f t="shared" si="6"/>
        <v>0</v>
      </c>
      <c r="Q98" s="19">
        <f t="shared" si="7"/>
        <v>1</v>
      </c>
    </row>
    <row r="99" spans="2:17" x14ac:dyDescent="0.2">
      <c r="B99" s="149">
        <v>102010005</v>
      </c>
      <c r="C99" s="149" t="s">
        <v>71</v>
      </c>
      <c r="D99" s="150" t="s">
        <v>51</v>
      </c>
      <c r="E99" s="151">
        <v>2</v>
      </c>
      <c r="F99" s="151">
        <v>234</v>
      </c>
      <c r="G99" s="151">
        <v>468</v>
      </c>
      <c r="H99" s="151">
        <v>234</v>
      </c>
      <c r="I99" s="151">
        <v>468</v>
      </c>
      <c r="J99" s="151">
        <v>0</v>
      </c>
      <c r="K99" s="151">
        <v>0</v>
      </c>
      <c r="L99" s="58">
        <f>IF(K99&gt;=0,K99,0)</f>
        <v>0</v>
      </c>
      <c r="M99" s="58">
        <f>IF(K99&lt;=0,K99,0)</f>
        <v>0</v>
      </c>
      <c r="N99" s="58">
        <f>L99+-M99</f>
        <v>0</v>
      </c>
      <c r="O99" s="19"/>
      <c r="P99" s="19">
        <f t="shared" si="6"/>
        <v>0</v>
      </c>
      <c r="Q99" s="19">
        <f t="shared" si="7"/>
        <v>1</v>
      </c>
    </row>
    <row r="100" spans="2:17" x14ac:dyDescent="0.2">
      <c r="B100" s="149">
        <v>10210042357</v>
      </c>
      <c r="C100" s="149" t="s">
        <v>275</v>
      </c>
      <c r="D100" s="150" t="s">
        <v>54</v>
      </c>
      <c r="E100" s="151">
        <v>3.2</v>
      </c>
      <c r="F100" s="151">
        <v>445</v>
      </c>
      <c r="G100" s="152">
        <v>1424</v>
      </c>
      <c r="H100" s="151">
        <v>445</v>
      </c>
      <c r="I100" s="152">
        <v>1424</v>
      </c>
      <c r="J100" s="151">
        <v>0</v>
      </c>
      <c r="K100" s="151">
        <v>0</v>
      </c>
      <c r="L100" s="58">
        <f>IF(K100&gt;=0,K100,0)</f>
        <v>0</v>
      </c>
      <c r="M100" s="58">
        <f>IF(K100&lt;=0,K100,0)</f>
        <v>0</v>
      </c>
      <c r="N100" s="58">
        <f>L100+-M100</f>
        <v>0</v>
      </c>
      <c r="O100" s="19"/>
      <c r="P100" s="19">
        <f t="shared" si="6"/>
        <v>0</v>
      </c>
      <c r="Q100" s="19">
        <f t="shared" si="7"/>
        <v>1</v>
      </c>
    </row>
    <row r="101" spans="2:17" x14ac:dyDescent="0.2">
      <c r="B101" s="149">
        <v>1020530557</v>
      </c>
      <c r="C101" s="149" t="s">
        <v>249</v>
      </c>
      <c r="D101" s="150" t="s">
        <v>54</v>
      </c>
      <c r="E101" s="151">
        <v>90</v>
      </c>
      <c r="F101" s="151">
        <v>2</v>
      </c>
      <c r="G101" s="151">
        <v>180</v>
      </c>
      <c r="H101" s="151">
        <v>2</v>
      </c>
      <c r="I101" s="151">
        <v>180</v>
      </c>
      <c r="J101" s="151">
        <v>0</v>
      </c>
      <c r="K101" s="151">
        <v>0</v>
      </c>
      <c r="L101" s="58">
        <f>IF(K101&gt;=0,K101,0)</f>
        <v>0</v>
      </c>
      <c r="M101" s="58">
        <f>IF(K101&lt;=0,K101,0)</f>
        <v>0</v>
      </c>
      <c r="N101" s="58">
        <f>L101+-M101</f>
        <v>0</v>
      </c>
      <c r="O101" s="19"/>
      <c r="P101" s="19">
        <f t="shared" si="6"/>
        <v>0</v>
      </c>
      <c r="Q101" s="19">
        <f t="shared" si="7"/>
        <v>1</v>
      </c>
    </row>
    <row r="102" spans="2:17" x14ac:dyDescent="0.2">
      <c r="B102" s="149">
        <v>1020530559</v>
      </c>
      <c r="C102" s="149" t="s">
        <v>410</v>
      </c>
      <c r="D102" s="150" t="s">
        <v>54</v>
      </c>
      <c r="E102" s="151">
        <v>87.39</v>
      </c>
      <c r="F102" s="151">
        <v>1</v>
      </c>
      <c r="G102" s="151">
        <v>87.39</v>
      </c>
      <c r="H102" s="151">
        <v>1</v>
      </c>
      <c r="I102" s="151">
        <v>87.39</v>
      </c>
      <c r="J102" s="151">
        <v>0</v>
      </c>
      <c r="K102" s="151">
        <v>0</v>
      </c>
      <c r="L102" s="58">
        <f>IF(K102&gt;=0,K102,0)</f>
        <v>0</v>
      </c>
      <c r="M102" s="58">
        <f>IF(K102&lt;=0,K102,0)</f>
        <v>0</v>
      </c>
      <c r="N102" s="58">
        <f>L102+-M102</f>
        <v>0</v>
      </c>
      <c r="O102" s="19"/>
      <c r="P102" s="19">
        <f t="shared" si="6"/>
        <v>0</v>
      </c>
      <c r="Q102" s="19">
        <f t="shared" si="7"/>
        <v>1</v>
      </c>
    </row>
    <row r="103" spans="2:17" x14ac:dyDescent="0.2">
      <c r="B103" s="149">
        <v>101080640</v>
      </c>
      <c r="C103" s="149" t="s">
        <v>276</v>
      </c>
      <c r="D103" s="150" t="s">
        <v>54</v>
      </c>
      <c r="E103" s="151">
        <v>4.2210000000000001</v>
      </c>
      <c r="F103" s="151">
        <v>18</v>
      </c>
      <c r="G103" s="151">
        <v>75.977999999999994</v>
      </c>
      <c r="H103" s="151">
        <v>18</v>
      </c>
      <c r="I103" s="151">
        <v>75.977999999999994</v>
      </c>
      <c r="J103" s="151">
        <v>0</v>
      </c>
      <c r="K103" s="151">
        <v>0</v>
      </c>
      <c r="L103" s="58">
        <f>IF(K103&gt;=0,K103,0)</f>
        <v>0</v>
      </c>
      <c r="M103" s="58">
        <f>IF(K103&lt;=0,K103,0)</f>
        <v>0</v>
      </c>
      <c r="N103" s="58">
        <f>L103+-M103</f>
        <v>0</v>
      </c>
      <c r="O103" s="19"/>
      <c r="P103" s="19">
        <f t="shared" si="6"/>
        <v>0</v>
      </c>
      <c r="Q103" s="19">
        <f t="shared" si="7"/>
        <v>1</v>
      </c>
    </row>
    <row r="104" spans="2:17" x14ac:dyDescent="0.2">
      <c r="B104" s="149">
        <v>101080341</v>
      </c>
      <c r="C104" s="149" t="s">
        <v>277</v>
      </c>
      <c r="D104" s="150" t="s">
        <v>54</v>
      </c>
      <c r="E104" s="151">
        <v>8.5</v>
      </c>
      <c r="F104" s="151">
        <v>20</v>
      </c>
      <c r="G104" s="151">
        <v>170</v>
      </c>
      <c r="H104" s="151">
        <v>20</v>
      </c>
      <c r="I104" s="151">
        <v>170</v>
      </c>
      <c r="J104" s="151">
        <v>0</v>
      </c>
      <c r="K104" s="151">
        <v>0</v>
      </c>
      <c r="L104" s="58">
        <f>IF(K104&gt;=0,K104,0)</f>
        <v>0</v>
      </c>
      <c r="M104" s="58">
        <f>IF(K104&lt;=0,K104,0)</f>
        <v>0</v>
      </c>
      <c r="N104" s="58">
        <f>L104+-M104</f>
        <v>0</v>
      </c>
      <c r="O104" s="19"/>
      <c r="P104" s="19">
        <f t="shared" si="6"/>
        <v>0</v>
      </c>
      <c r="Q104" s="19">
        <f t="shared" si="7"/>
        <v>1</v>
      </c>
    </row>
    <row r="105" spans="2:17" x14ac:dyDescent="0.2">
      <c r="B105" s="149">
        <v>103020005</v>
      </c>
      <c r="C105" s="149" t="s">
        <v>72</v>
      </c>
      <c r="D105" s="150" t="s">
        <v>51</v>
      </c>
      <c r="E105" s="151">
        <v>13.393000000000001</v>
      </c>
      <c r="F105" s="151">
        <v>132</v>
      </c>
      <c r="G105" s="152">
        <v>1767.876</v>
      </c>
      <c r="H105" s="151">
        <v>132</v>
      </c>
      <c r="I105" s="152">
        <v>1767.876</v>
      </c>
      <c r="J105" s="151">
        <v>0</v>
      </c>
      <c r="K105" s="151">
        <v>0</v>
      </c>
      <c r="L105" s="58">
        <f>IF(K105&gt;=0,K105,0)</f>
        <v>0</v>
      </c>
      <c r="M105" s="58">
        <f>IF(K105&lt;=0,K105,0)</f>
        <v>0</v>
      </c>
      <c r="N105" s="58">
        <f>L105+-M105</f>
        <v>0</v>
      </c>
      <c r="O105" s="19"/>
      <c r="P105" s="19">
        <f t="shared" si="6"/>
        <v>0</v>
      </c>
      <c r="Q105" s="19">
        <f t="shared" si="7"/>
        <v>1</v>
      </c>
    </row>
    <row r="106" spans="2:17" x14ac:dyDescent="0.2">
      <c r="B106" s="149">
        <v>1020530561</v>
      </c>
      <c r="C106" s="149" t="s">
        <v>411</v>
      </c>
      <c r="D106" s="150" t="s">
        <v>54</v>
      </c>
      <c r="E106" s="151">
        <v>57</v>
      </c>
      <c r="F106" s="151">
        <v>1</v>
      </c>
      <c r="G106" s="151">
        <v>57</v>
      </c>
      <c r="H106" s="151">
        <v>1</v>
      </c>
      <c r="I106" s="151">
        <v>57</v>
      </c>
      <c r="J106" s="151">
        <v>0</v>
      </c>
      <c r="K106" s="151">
        <v>0</v>
      </c>
      <c r="L106" s="58">
        <f>IF(K106&gt;=0,K106,0)</f>
        <v>0</v>
      </c>
      <c r="M106" s="58">
        <f>IF(K106&lt;=0,K106,0)</f>
        <v>0</v>
      </c>
      <c r="N106" s="58">
        <f>L106+-M106</f>
        <v>0</v>
      </c>
      <c r="O106" s="19"/>
      <c r="P106" s="19">
        <f t="shared" si="6"/>
        <v>0</v>
      </c>
      <c r="Q106" s="19">
        <f t="shared" si="7"/>
        <v>1</v>
      </c>
    </row>
    <row r="107" spans="2:17" x14ac:dyDescent="0.2">
      <c r="B107" s="149">
        <v>102010006</v>
      </c>
      <c r="C107" s="149" t="s">
        <v>73</v>
      </c>
      <c r="D107" s="150" t="s">
        <v>51</v>
      </c>
      <c r="E107" s="151">
        <v>3.33</v>
      </c>
      <c r="F107" s="151">
        <v>182.29</v>
      </c>
      <c r="G107" s="151">
        <v>607.02570000000003</v>
      </c>
      <c r="H107" s="151">
        <v>182.29</v>
      </c>
      <c r="I107" s="151">
        <v>607.02570000000003</v>
      </c>
      <c r="J107" s="151">
        <v>0</v>
      </c>
      <c r="K107" s="151">
        <v>0</v>
      </c>
      <c r="L107" s="58">
        <f>IF(K107&gt;=0,K107,0)</f>
        <v>0</v>
      </c>
      <c r="M107" s="58">
        <f>IF(K107&lt;=0,K107,0)</f>
        <v>0</v>
      </c>
      <c r="N107" s="58">
        <f>L107+-M107</f>
        <v>0</v>
      </c>
      <c r="O107" s="19"/>
      <c r="P107" s="19">
        <f t="shared" si="6"/>
        <v>0</v>
      </c>
      <c r="Q107" s="19">
        <f t="shared" si="7"/>
        <v>1</v>
      </c>
    </row>
    <row r="108" spans="2:17" x14ac:dyDescent="0.2">
      <c r="B108" s="149">
        <v>1020132853</v>
      </c>
      <c r="C108" s="149" t="s">
        <v>250</v>
      </c>
      <c r="D108" s="150" t="s">
        <v>74</v>
      </c>
      <c r="E108" s="151">
        <v>0.503</v>
      </c>
      <c r="F108" s="151">
        <v>864</v>
      </c>
      <c r="G108" s="151">
        <v>434.59199999999998</v>
      </c>
      <c r="H108" s="151">
        <v>864</v>
      </c>
      <c r="I108" s="151">
        <v>434.59199999999998</v>
      </c>
      <c r="J108" s="151">
        <v>0</v>
      </c>
      <c r="K108" s="151">
        <v>0</v>
      </c>
      <c r="L108" s="58">
        <f>IF(K108&gt;=0,K108,0)</f>
        <v>0</v>
      </c>
      <c r="M108" s="58">
        <f>IF(K108&lt;=0,K108,0)</f>
        <v>0</v>
      </c>
      <c r="N108" s="58">
        <f>L108+-M108</f>
        <v>0</v>
      </c>
      <c r="O108" s="19"/>
      <c r="P108" s="19">
        <f t="shared" si="6"/>
        <v>0</v>
      </c>
      <c r="Q108" s="19">
        <f t="shared" si="7"/>
        <v>1</v>
      </c>
    </row>
    <row r="109" spans="2:17" x14ac:dyDescent="0.2">
      <c r="B109" s="149">
        <v>1020429717</v>
      </c>
      <c r="C109" s="149" t="s">
        <v>311</v>
      </c>
      <c r="D109" s="150" t="s">
        <v>75</v>
      </c>
      <c r="E109" s="151">
        <v>15.420045</v>
      </c>
      <c r="F109" s="151">
        <v>7</v>
      </c>
      <c r="G109" s="151">
        <v>107.940315</v>
      </c>
      <c r="H109" s="151">
        <v>7</v>
      </c>
      <c r="I109" s="151">
        <v>107.940315</v>
      </c>
      <c r="J109" s="151">
        <v>0</v>
      </c>
      <c r="K109" s="151">
        <v>0</v>
      </c>
      <c r="L109" s="58">
        <f>IF(K109&gt;=0,K109,0)</f>
        <v>0</v>
      </c>
      <c r="M109" s="58">
        <f>IF(K109&lt;=0,K109,0)</f>
        <v>0</v>
      </c>
      <c r="N109" s="58">
        <f>L109+-M109</f>
        <v>0</v>
      </c>
      <c r="O109" s="19"/>
      <c r="P109" s="19">
        <f t="shared" si="6"/>
        <v>0</v>
      </c>
      <c r="Q109" s="19">
        <f t="shared" si="7"/>
        <v>1</v>
      </c>
    </row>
    <row r="110" spans="2:17" x14ac:dyDescent="0.2">
      <c r="B110" s="149">
        <v>10204039492</v>
      </c>
      <c r="C110" s="149" t="s">
        <v>312</v>
      </c>
      <c r="D110" s="150" t="s">
        <v>59</v>
      </c>
      <c r="E110" s="151">
        <v>4.6900000000000004</v>
      </c>
      <c r="F110" s="151">
        <v>67</v>
      </c>
      <c r="G110" s="151">
        <v>314.23</v>
      </c>
      <c r="H110" s="151">
        <v>67</v>
      </c>
      <c r="I110" s="151">
        <v>314.23</v>
      </c>
      <c r="J110" s="151">
        <v>0</v>
      </c>
      <c r="K110" s="151">
        <v>0</v>
      </c>
      <c r="L110" s="58">
        <f>IF(K110&gt;=0,K110,0)</f>
        <v>0</v>
      </c>
      <c r="M110" s="58">
        <f>IF(K110&lt;=0,K110,0)</f>
        <v>0</v>
      </c>
      <c r="N110" s="58">
        <f>L110+-M110</f>
        <v>0</v>
      </c>
      <c r="O110" s="19"/>
      <c r="P110" s="19">
        <f t="shared" si="6"/>
        <v>0</v>
      </c>
      <c r="Q110" s="19">
        <f t="shared" si="7"/>
        <v>1</v>
      </c>
    </row>
    <row r="111" spans="2:17" x14ac:dyDescent="0.2">
      <c r="B111" s="149">
        <v>4010830437</v>
      </c>
      <c r="C111" s="149" t="s">
        <v>76</v>
      </c>
      <c r="D111" s="150" t="s">
        <v>51</v>
      </c>
      <c r="E111" s="151">
        <v>7.7389999999999999</v>
      </c>
      <c r="F111" s="151">
        <v>30</v>
      </c>
      <c r="G111" s="151">
        <v>232.17</v>
      </c>
      <c r="H111" s="151">
        <v>30</v>
      </c>
      <c r="I111" s="151">
        <v>232.17</v>
      </c>
      <c r="J111" s="151">
        <v>0</v>
      </c>
      <c r="K111" s="151">
        <v>0</v>
      </c>
      <c r="L111" s="58">
        <f>IF(K111&gt;=0,K111,0)</f>
        <v>0</v>
      </c>
      <c r="M111" s="58">
        <f>IF(K111&lt;=0,K111,0)</f>
        <v>0</v>
      </c>
      <c r="N111" s="58">
        <f>L111+-M111</f>
        <v>0</v>
      </c>
      <c r="O111" s="19"/>
      <c r="P111" s="19">
        <f t="shared" si="6"/>
        <v>0</v>
      </c>
      <c r="Q111" s="19">
        <f t="shared" si="7"/>
        <v>1</v>
      </c>
    </row>
    <row r="112" spans="2:17" x14ac:dyDescent="0.2">
      <c r="B112" s="149">
        <v>102040069</v>
      </c>
      <c r="C112" s="149" t="s">
        <v>313</v>
      </c>
      <c r="D112" s="150" t="s">
        <v>51</v>
      </c>
      <c r="E112" s="151">
        <v>17.366</v>
      </c>
      <c r="F112" s="151">
        <v>20</v>
      </c>
      <c r="G112" s="151">
        <v>347.32</v>
      </c>
      <c r="H112" s="151">
        <v>20</v>
      </c>
      <c r="I112" s="151">
        <v>347.32</v>
      </c>
      <c r="J112" s="151">
        <v>0</v>
      </c>
      <c r="K112" s="151">
        <v>0</v>
      </c>
      <c r="L112" s="58">
        <f>IF(K112&gt;=0,K112,0)</f>
        <v>0</v>
      </c>
      <c r="M112" s="58">
        <f>IF(K112&lt;=0,K112,0)</f>
        <v>0</v>
      </c>
      <c r="N112" s="58">
        <f>L112+-M112</f>
        <v>0</v>
      </c>
      <c r="O112" s="19"/>
      <c r="P112" s="19">
        <f t="shared" si="6"/>
        <v>0</v>
      </c>
      <c r="Q112" s="19">
        <f t="shared" si="7"/>
        <v>1</v>
      </c>
    </row>
    <row r="113" spans="2:17" x14ac:dyDescent="0.2">
      <c r="B113" s="149">
        <v>10210043934</v>
      </c>
      <c r="C113" s="149" t="s">
        <v>381</v>
      </c>
      <c r="D113" s="150" t="s">
        <v>58</v>
      </c>
      <c r="E113" s="151">
        <v>1.1639999999999999</v>
      </c>
      <c r="F113" s="151">
        <v>117</v>
      </c>
      <c r="G113" s="151">
        <v>136.18799999999999</v>
      </c>
      <c r="H113" s="151">
        <v>117</v>
      </c>
      <c r="I113" s="151">
        <v>136.18799999999999</v>
      </c>
      <c r="J113" s="151">
        <v>0</v>
      </c>
      <c r="K113" s="151">
        <v>0</v>
      </c>
      <c r="L113" s="58">
        <f>IF(K113&gt;=0,K113,0)</f>
        <v>0</v>
      </c>
      <c r="M113" s="58">
        <f>IF(K113&lt;=0,K113,0)</f>
        <v>0</v>
      </c>
      <c r="N113" s="58">
        <f>L113+-M113</f>
        <v>0</v>
      </c>
      <c r="O113" s="19"/>
      <c r="P113" s="19">
        <f t="shared" si="6"/>
        <v>0</v>
      </c>
      <c r="Q113" s="19">
        <f t="shared" si="7"/>
        <v>1</v>
      </c>
    </row>
    <row r="114" spans="2:17" x14ac:dyDescent="0.2">
      <c r="B114" s="149">
        <v>102010008</v>
      </c>
      <c r="C114" s="149" t="s">
        <v>382</v>
      </c>
      <c r="D114" s="150" t="s">
        <v>51</v>
      </c>
      <c r="E114" s="151">
        <v>7.74</v>
      </c>
      <c r="F114" s="151">
        <v>80.5</v>
      </c>
      <c r="G114" s="151">
        <v>623.07000000000005</v>
      </c>
      <c r="H114" s="151">
        <v>80.5</v>
      </c>
      <c r="I114" s="151">
        <v>623.07000000000005</v>
      </c>
      <c r="J114" s="151">
        <v>0</v>
      </c>
      <c r="K114" s="151">
        <v>0</v>
      </c>
      <c r="L114" s="58">
        <f>IF(K114&gt;=0,K114,0)</f>
        <v>0</v>
      </c>
      <c r="M114" s="58">
        <f>IF(K114&lt;=0,K114,0)</f>
        <v>0</v>
      </c>
      <c r="N114" s="58">
        <f>L114+-M114</f>
        <v>0</v>
      </c>
      <c r="O114" s="19"/>
      <c r="P114" s="19">
        <f t="shared" si="6"/>
        <v>0</v>
      </c>
      <c r="Q114" s="19">
        <f t="shared" si="7"/>
        <v>1</v>
      </c>
    </row>
    <row r="115" spans="2:17" x14ac:dyDescent="0.2">
      <c r="B115" s="149">
        <v>103010005</v>
      </c>
      <c r="C115" s="149" t="s">
        <v>77</v>
      </c>
      <c r="D115" s="150" t="s">
        <v>51</v>
      </c>
      <c r="E115" s="151">
        <v>11.992074000000001</v>
      </c>
      <c r="F115" s="151">
        <v>45</v>
      </c>
      <c r="G115" s="151">
        <v>539.64332999999999</v>
      </c>
      <c r="H115" s="151">
        <v>45</v>
      </c>
      <c r="I115" s="151">
        <v>539.64332999999999</v>
      </c>
      <c r="J115" s="151">
        <v>0</v>
      </c>
      <c r="K115" s="151">
        <v>0</v>
      </c>
      <c r="L115" s="58">
        <f>IF(K115&gt;=0,K115,0)</f>
        <v>0</v>
      </c>
      <c r="M115" s="58">
        <f>IF(K115&lt;=0,K115,0)</f>
        <v>0</v>
      </c>
      <c r="N115" s="58">
        <f>L115+-M115</f>
        <v>0</v>
      </c>
      <c r="O115" s="19"/>
      <c r="P115" s="19">
        <f t="shared" si="6"/>
        <v>0</v>
      </c>
      <c r="Q115" s="19">
        <f t="shared" si="7"/>
        <v>1</v>
      </c>
    </row>
    <row r="116" spans="2:17" x14ac:dyDescent="0.2">
      <c r="B116" s="149">
        <v>10203040854</v>
      </c>
      <c r="C116" s="149" t="s">
        <v>441</v>
      </c>
      <c r="D116" s="150" t="s">
        <v>58</v>
      </c>
      <c r="E116" s="151">
        <v>1.4</v>
      </c>
      <c r="F116" s="151">
        <v>432</v>
      </c>
      <c r="G116" s="151">
        <v>604.79999999999995</v>
      </c>
      <c r="H116" s="151">
        <v>432</v>
      </c>
      <c r="I116" s="151">
        <v>604.79999999999995</v>
      </c>
      <c r="J116" s="151">
        <v>0</v>
      </c>
      <c r="K116" s="151">
        <v>0</v>
      </c>
      <c r="L116" s="58">
        <f>IF(K116&gt;=0,K116,0)</f>
        <v>0</v>
      </c>
      <c r="M116" s="58">
        <f>IF(K116&lt;=0,K116,0)</f>
        <v>0</v>
      </c>
      <c r="N116" s="58">
        <f>L116+-M116</f>
        <v>0</v>
      </c>
      <c r="O116" s="19"/>
      <c r="P116" s="19">
        <f t="shared" si="6"/>
        <v>0</v>
      </c>
      <c r="Q116" s="19">
        <f t="shared" si="7"/>
        <v>1</v>
      </c>
    </row>
    <row r="117" spans="2:17" x14ac:dyDescent="0.2">
      <c r="B117" s="149">
        <v>4020131165</v>
      </c>
      <c r="C117" s="149" t="s">
        <v>279</v>
      </c>
      <c r="D117" s="150" t="s">
        <v>51</v>
      </c>
      <c r="E117" s="151">
        <v>16.37</v>
      </c>
      <c r="F117" s="151">
        <v>62</v>
      </c>
      <c r="G117" s="152">
        <v>1014.94</v>
      </c>
      <c r="H117" s="151">
        <v>62</v>
      </c>
      <c r="I117" s="152">
        <v>1014.94</v>
      </c>
      <c r="J117" s="151">
        <v>0</v>
      </c>
      <c r="K117" s="151">
        <v>0</v>
      </c>
      <c r="L117" s="58">
        <f>IF(K117&gt;=0,K117,0)</f>
        <v>0</v>
      </c>
      <c r="M117" s="58">
        <f>IF(K117&lt;=0,K117,0)</f>
        <v>0</v>
      </c>
      <c r="N117" s="58">
        <f>L117+-M117</f>
        <v>0</v>
      </c>
      <c r="O117" s="19"/>
      <c r="P117" s="19">
        <f t="shared" si="6"/>
        <v>0</v>
      </c>
      <c r="Q117" s="19">
        <f t="shared" si="7"/>
        <v>1</v>
      </c>
    </row>
    <row r="118" spans="2:17" x14ac:dyDescent="0.2">
      <c r="B118" s="149">
        <v>103020301</v>
      </c>
      <c r="C118" s="149" t="s">
        <v>350</v>
      </c>
      <c r="D118" s="150" t="s">
        <v>51</v>
      </c>
      <c r="E118" s="151">
        <v>15.35</v>
      </c>
      <c r="F118" s="151">
        <v>77.5</v>
      </c>
      <c r="G118" s="152">
        <v>1189.625</v>
      </c>
      <c r="H118" s="151">
        <v>77.5</v>
      </c>
      <c r="I118" s="152">
        <v>1189.625</v>
      </c>
      <c r="J118" s="151">
        <v>0</v>
      </c>
      <c r="K118" s="151">
        <v>0</v>
      </c>
      <c r="L118" s="58">
        <f>IF(K118&gt;=0,K118,0)</f>
        <v>0</v>
      </c>
      <c r="M118" s="58">
        <f>IF(K118&lt;=0,K118,0)</f>
        <v>0</v>
      </c>
      <c r="N118" s="58">
        <f>L118+-M118</f>
        <v>0</v>
      </c>
      <c r="O118" s="19"/>
      <c r="P118" s="19">
        <f t="shared" si="6"/>
        <v>0</v>
      </c>
      <c r="Q118" s="19">
        <f t="shared" si="7"/>
        <v>1</v>
      </c>
    </row>
    <row r="119" spans="2:17" x14ac:dyDescent="0.2">
      <c r="B119" s="149">
        <v>103020006</v>
      </c>
      <c r="C119" s="149" t="s">
        <v>351</v>
      </c>
      <c r="D119" s="150" t="s">
        <v>51</v>
      </c>
      <c r="E119" s="151">
        <v>15.35</v>
      </c>
      <c r="F119" s="151">
        <v>151.19999999999999</v>
      </c>
      <c r="G119" s="152">
        <v>2320.92</v>
      </c>
      <c r="H119" s="151">
        <v>151.19999999999999</v>
      </c>
      <c r="I119" s="152">
        <v>2320.92</v>
      </c>
      <c r="J119" s="151">
        <v>0</v>
      </c>
      <c r="K119" s="151">
        <v>0</v>
      </c>
      <c r="L119" s="58">
        <f>IF(K119&gt;=0,K119,0)</f>
        <v>0</v>
      </c>
      <c r="M119" s="58">
        <f>IF(K119&lt;=0,K119,0)</f>
        <v>0</v>
      </c>
      <c r="N119" s="58">
        <f>L119+-M119</f>
        <v>0</v>
      </c>
      <c r="O119" s="19"/>
      <c r="P119" s="19">
        <f t="shared" si="6"/>
        <v>0</v>
      </c>
      <c r="Q119" s="19">
        <f t="shared" si="7"/>
        <v>1</v>
      </c>
    </row>
    <row r="120" spans="2:17" x14ac:dyDescent="0.2">
      <c r="B120" s="149">
        <v>4010233283</v>
      </c>
      <c r="C120" s="149" t="s">
        <v>404</v>
      </c>
      <c r="D120" s="150" t="s">
        <v>51</v>
      </c>
      <c r="E120" s="151">
        <v>15.010999999999999</v>
      </c>
      <c r="F120" s="151">
        <v>48.3</v>
      </c>
      <c r="G120" s="151">
        <v>725.03129999999999</v>
      </c>
      <c r="H120" s="151">
        <v>48.3</v>
      </c>
      <c r="I120" s="151">
        <v>725.03129999999999</v>
      </c>
      <c r="J120" s="151">
        <v>0</v>
      </c>
      <c r="K120" s="151">
        <v>0</v>
      </c>
      <c r="L120" s="58">
        <f>IF(K120&gt;=0,K120,0)</f>
        <v>0</v>
      </c>
      <c r="M120" s="58">
        <f>IF(K120&lt;=0,K120,0)</f>
        <v>0</v>
      </c>
      <c r="N120" s="58">
        <f>L120+-M120</f>
        <v>0</v>
      </c>
      <c r="O120" s="19"/>
      <c r="P120" s="19">
        <f t="shared" si="6"/>
        <v>0</v>
      </c>
      <c r="Q120" s="19">
        <f t="shared" si="7"/>
        <v>1</v>
      </c>
    </row>
    <row r="121" spans="2:17" x14ac:dyDescent="0.2">
      <c r="B121" s="149">
        <v>1010630586</v>
      </c>
      <c r="C121" s="149" t="s">
        <v>180</v>
      </c>
      <c r="D121" s="150" t="s">
        <v>54</v>
      </c>
      <c r="E121" s="151">
        <v>21.3</v>
      </c>
      <c r="F121" s="151">
        <v>19</v>
      </c>
      <c r="G121" s="151">
        <v>404.7</v>
      </c>
      <c r="H121" s="151">
        <v>19</v>
      </c>
      <c r="I121" s="151">
        <v>404.7</v>
      </c>
      <c r="J121" s="151">
        <v>0</v>
      </c>
      <c r="K121" s="151">
        <v>0</v>
      </c>
      <c r="L121" s="58">
        <f>IF(K121&gt;=0,K121,0)</f>
        <v>0</v>
      </c>
      <c r="M121" s="58">
        <f>IF(K121&lt;=0,K121,0)</f>
        <v>0</v>
      </c>
      <c r="N121" s="58">
        <f>L121+-M121</f>
        <v>0</v>
      </c>
      <c r="O121" s="19"/>
      <c r="P121" s="19">
        <f t="shared" si="6"/>
        <v>0</v>
      </c>
      <c r="Q121" s="19">
        <f t="shared" si="7"/>
        <v>1</v>
      </c>
    </row>
    <row r="122" spans="2:17" x14ac:dyDescent="0.2">
      <c r="B122" s="149">
        <v>101060591</v>
      </c>
      <c r="C122" s="149" t="s">
        <v>218</v>
      </c>
      <c r="D122" s="150" t="s">
        <v>54</v>
      </c>
      <c r="E122" s="151">
        <v>29.84</v>
      </c>
      <c r="F122" s="151">
        <v>7</v>
      </c>
      <c r="G122" s="151">
        <v>208.88</v>
      </c>
      <c r="H122" s="151">
        <v>7</v>
      </c>
      <c r="I122" s="151">
        <v>208.88</v>
      </c>
      <c r="J122" s="151">
        <v>0</v>
      </c>
      <c r="K122" s="151">
        <v>0</v>
      </c>
      <c r="L122" s="58">
        <f>IF(K122&gt;=0,K122,0)</f>
        <v>0</v>
      </c>
      <c r="M122" s="58">
        <f>IF(K122&lt;=0,K122,0)</f>
        <v>0</v>
      </c>
      <c r="N122" s="58">
        <f>L122+-M122</f>
        <v>0</v>
      </c>
      <c r="O122" s="19"/>
      <c r="P122" s="19">
        <f t="shared" si="6"/>
        <v>0</v>
      </c>
      <c r="Q122" s="19">
        <f t="shared" si="7"/>
        <v>1</v>
      </c>
    </row>
    <row r="123" spans="2:17" x14ac:dyDescent="0.2">
      <c r="B123" s="149">
        <v>101060587</v>
      </c>
      <c r="C123" s="149" t="s">
        <v>252</v>
      </c>
      <c r="D123" s="150" t="s">
        <v>54</v>
      </c>
      <c r="E123" s="151">
        <v>8.4700000000000006</v>
      </c>
      <c r="F123" s="151">
        <v>25</v>
      </c>
      <c r="G123" s="151">
        <v>211.75</v>
      </c>
      <c r="H123" s="151">
        <v>25</v>
      </c>
      <c r="I123" s="151">
        <v>211.75</v>
      </c>
      <c r="J123" s="151">
        <v>0</v>
      </c>
      <c r="K123" s="151">
        <v>0</v>
      </c>
      <c r="L123" s="58">
        <f>IF(K123&gt;=0,K123,0)</f>
        <v>0</v>
      </c>
      <c r="M123" s="58">
        <f>IF(K123&lt;=0,K123,0)</f>
        <v>0</v>
      </c>
      <c r="N123" s="58">
        <f>L123+-M123</f>
        <v>0</v>
      </c>
      <c r="O123" s="19"/>
      <c r="P123" s="19">
        <f t="shared" si="6"/>
        <v>0</v>
      </c>
      <c r="Q123" s="19">
        <f t="shared" si="7"/>
        <v>1</v>
      </c>
    </row>
    <row r="124" spans="2:17" x14ac:dyDescent="0.2">
      <c r="B124" s="149">
        <v>101080639</v>
      </c>
      <c r="C124" s="149" t="s">
        <v>352</v>
      </c>
      <c r="D124" s="150" t="s">
        <v>54</v>
      </c>
      <c r="E124" s="151">
        <v>5.0199999999999996</v>
      </c>
      <c r="F124" s="151">
        <v>15</v>
      </c>
      <c r="G124" s="151">
        <v>75.3</v>
      </c>
      <c r="H124" s="151">
        <v>15</v>
      </c>
      <c r="I124" s="151">
        <v>75.3</v>
      </c>
      <c r="J124" s="151">
        <v>0</v>
      </c>
      <c r="K124" s="151">
        <v>0</v>
      </c>
      <c r="L124" s="58">
        <f>IF(K124&gt;=0,K124,0)</f>
        <v>0</v>
      </c>
      <c r="M124" s="58">
        <f>IF(K124&lt;=0,K124,0)</f>
        <v>0</v>
      </c>
      <c r="N124" s="58">
        <f>L124+-M124</f>
        <v>0</v>
      </c>
      <c r="O124" s="19"/>
      <c r="P124" s="19">
        <f t="shared" si="6"/>
        <v>0</v>
      </c>
      <c r="Q124" s="19">
        <f t="shared" si="7"/>
        <v>1</v>
      </c>
    </row>
    <row r="125" spans="2:17" x14ac:dyDescent="0.2">
      <c r="B125" s="149">
        <v>406042854</v>
      </c>
      <c r="C125" s="149" t="s">
        <v>353</v>
      </c>
      <c r="D125" s="150" t="s">
        <v>58</v>
      </c>
      <c r="E125" s="151">
        <v>1.38</v>
      </c>
      <c r="F125" s="151">
        <v>80</v>
      </c>
      <c r="G125" s="151">
        <v>110.4</v>
      </c>
      <c r="H125" s="151">
        <v>80</v>
      </c>
      <c r="I125" s="151">
        <v>110.4</v>
      </c>
      <c r="J125" s="151">
        <v>0</v>
      </c>
      <c r="K125" s="151">
        <v>0</v>
      </c>
      <c r="L125" s="58">
        <f>IF(K125&gt;=0,K125,0)</f>
        <v>0</v>
      </c>
      <c r="M125" s="58">
        <f>IF(K125&lt;=0,K125,0)</f>
        <v>0</v>
      </c>
      <c r="N125" s="58">
        <f>L125+-M125</f>
        <v>0</v>
      </c>
      <c r="O125" s="19"/>
      <c r="P125" s="19">
        <f t="shared" si="6"/>
        <v>0</v>
      </c>
      <c r="Q125" s="19">
        <f t="shared" si="7"/>
        <v>1</v>
      </c>
    </row>
    <row r="126" spans="2:17" x14ac:dyDescent="0.2">
      <c r="B126" s="149">
        <v>1020530564</v>
      </c>
      <c r="C126" s="149" t="s">
        <v>78</v>
      </c>
      <c r="D126" s="150" t="s">
        <v>54</v>
      </c>
      <c r="E126" s="151">
        <v>64.999998000000005</v>
      </c>
      <c r="F126" s="151">
        <v>3</v>
      </c>
      <c r="G126" s="151">
        <v>194.99999399999999</v>
      </c>
      <c r="H126" s="151">
        <v>3</v>
      </c>
      <c r="I126" s="151">
        <v>194.99999399999999</v>
      </c>
      <c r="J126" s="151">
        <v>0</v>
      </c>
      <c r="K126" s="151">
        <v>0</v>
      </c>
      <c r="L126" s="58">
        <f>IF(K126&gt;=0,K126,0)</f>
        <v>0</v>
      </c>
      <c r="M126" s="58">
        <f>IF(K126&lt;=0,K126,0)</f>
        <v>0</v>
      </c>
      <c r="N126" s="58">
        <f>L126+-M126</f>
        <v>0</v>
      </c>
      <c r="O126" s="19"/>
      <c r="P126" s="19">
        <f t="shared" si="6"/>
        <v>0</v>
      </c>
      <c r="Q126" s="19">
        <f t="shared" si="7"/>
        <v>1</v>
      </c>
    </row>
    <row r="127" spans="2:17" x14ac:dyDescent="0.2">
      <c r="B127" s="149">
        <v>20512037262</v>
      </c>
      <c r="C127" s="149" t="s">
        <v>253</v>
      </c>
      <c r="D127" s="150" t="s">
        <v>58</v>
      </c>
      <c r="E127" s="151">
        <v>23.332999999999998</v>
      </c>
      <c r="F127" s="151">
        <v>1</v>
      </c>
      <c r="G127" s="151">
        <v>23.332999999999998</v>
      </c>
      <c r="H127" s="151">
        <v>1</v>
      </c>
      <c r="I127" s="151">
        <v>23.332999999999998</v>
      </c>
      <c r="J127" s="151">
        <v>0</v>
      </c>
      <c r="K127" s="151">
        <v>0</v>
      </c>
      <c r="L127" s="58">
        <f>IF(K127&gt;=0,K127,0)</f>
        <v>0</v>
      </c>
      <c r="M127" s="58">
        <f>IF(K127&lt;=0,K127,0)</f>
        <v>0</v>
      </c>
      <c r="N127" s="58">
        <f>L127+-M127</f>
        <v>0</v>
      </c>
      <c r="O127" s="19"/>
      <c r="P127" s="19">
        <f t="shared" si="6"/>
        <v>0</v>
      </c>
      <c r="Q127" s="19">
        <f t="shared" si="7"/>
        <v>1</v>
      </c>
    </row>
    <row r="128" spans="2:17" x14ac:dyDescent="0.2">
      <c r="B128" s="149">
        <v>10208039813</v>
      </c>
      <c r="C128" s="149" t="s">
        <v>354</v>
      </c>
      <c r="D128" s="150" t="s">
        <v>54</v>
      </c>
      <c r="E128" s="151">
        <v>16.22</v>
      </c>
      <c r="F128" s="151">
        <v>6</v>
      </c>
      <c r="G128" s="151">
        <v>97.32</v>
      </c>
      <c r="H128" s="151">
        <v>6</v>
      </c>
      <c r="I128" s="151">
        <v>97.32</v>
      </c>
      <c r="J128" s="151">
        <v>0</v>
      </c>
      <c r="K128" s="151">
        <v>0</v>
      </c>
      <c r="L128" s="58">
        <f>IF(K128&gt;=0,K128,0)</f>
        <v>0</v>
      </c>
      <c r="M128" s="58">
        <f>IF(K128&lt;=0,K128,0)</f>
        <v>0</v>
      </c>
      <c r="N128" s="58">
        <f>L128+-M128</f>
        <v>0</v>
      </c>
      <c r="O128" s="19"/>
      <c r="P128" s="19">
        <f t="shared" si="6"/>
        <v>0</v>
      </c>
      <c r="Q128" s="19">
        <f t="shared" si="7"/>
        <v>1</v>
      </c>
    </row>
    <row r="129" spans="2:17" x14ac:dyDescent="0.2">
      <c r="B129" s="149">
        <v>102040178</v>
      </c>
      <c r="C129" s="149" t="s">
        <v>442</v>
      </c>
      <c r="D129" s="150" t="s">
        <v>59</v>
      </c>
      <c r="E129" s="151">
        <v>11.12</v>
      </c>
      <c r="F129" s="151">
        <v>6</v>
      </c>
      <c r="G129" s="151">
        <v>66.72</v>
      </c>
      <c r="H129" s="151">
        <v>6</v>
      </c>
      <c r="I129" s="151">
        <v>66.72</v>
      </c>
      <c r="J129" s="151">
        <v>0</v>
      </c>
      <c r="K129" s="151">
        <v>0</v>
      </c>
      <c r="L129" s="58">
        <f>IF(K129&gt;=0,K129,0)</f>
        <v>0</v>
      </c>
      <c r="M129" s="58">
        <f>IF(K129&lt;=0,K129,0)</f>
        <v>0</v>
      </c>
      <c r="N129" s="58">
        <f>L129+-M129</f>
        <v>0</v>
      </c>
      <c r="O129" s="19"/>
      <c r="P129" s="19">
        <f t="shared" si="6"/>
        <v>0</v>
      </c>
      <c r="Q129" s="19">
        <f t="shared" si="7"/>
        <v>1</v>
      </c>
    </row>
    <row r="130" spans="2:17" x14ac:dyDescent="0.2">
      <c r="B130" s="149">
        <v>10205039493</v>
      </c>
      <c r="C130" s="149" t="s">
        <v>219</v>
      </c>
      <c r="D130" s="150" t="s">
        <v>54</v>
      </c>
      <c r="E130" s="151">
        <v>5.0999999999999996</v>
      </c>
      <c r="F130" s="151">
        <v>202</v>
      </c>
      <c r="G130" s="152">
        <v>1030.2</v>
      </c>
      <c r="H130" s="151">
        <v>202</v>
      </c>
      <c r="I130" s="152">
        <v>1030.2</v>
      </c>
      <c r="J130" s="151">
        <v>0</v>
      </c>
      <c r="K130" s="151">
        <v>0</v>
      </c>
      <c r="L130" s="58">
        <f>IF(K130&gt;=0,K130,0)</f>
        <v>0</v>
      </c>
      <c r="M130" s="58">
        <f>IF(K130&lt;=0,K130,0)</f>
        <v>0</v>
      </c>
      <c r="N130" s="58">
        <f>L130+-M130</f>
        <v>0</v>
      </c>
      <c r="O130" s="19"/>
      <c r="P130" s="19">
        <f t="shared" si="6"/>
        <v>0</v>
      </c>
      <c r="Q130" s="19">
        <f t="shared" si="7"/>
        <v>1</v>
      </c>
    </row>
    <row r="131" spans="2:17" x14ac:dyDescent="0.2">
      <c r="B131" s="149">
        <v>1020530570</v>
      </c>
      <c r="C131" s="149" t="s">
        <v>80</v>
      </c>
      <c r="D131" s="150" t="s">
        <v>54</v>
      </c>
      <c r="E131" s="151">
        <v>20.5</v>
      </c>
      <c r="F131" s="151">
        <v>4</v>
      </c>
      <c r="G131" s="151">
        <v>82</v>
      </c>
      <c r="H131" s="151">
        <v>4</v>
      </c>
      <c r="I131" s="151">
        <v>82</v>
      </c>
      <c r="J131" s="151">
        <v>0</v>
      </c>
      <c r="K131" s="151">
        <v>0</v>
      </c>
      <c r="L131" s="58">
        <f>IF(K131&gt;=0,K131,0)</f>
        <v>0</v>
      </c>
      <c r="M131" s="58">
        <f>IF(K131&lt;=0,K131,0)</f>
        <v>0</v>
      </c>
      <c r="N131" s="58">
        <f>L131+-M131</f>
        <v>0</v>
      </c>
      <c r="O131" s="19"/>
      <c r="P131" s="19">
        <f t="shared" si="6"/>
        <v>0</v>
      </c>
      <c r="Q131" s="19">
        <f t="shared" si="7"/>
        <v>1</v>
      </c>
    </row>
    <row r="132" spans="2:17" x14ac:dyDescent="0.2">
      <c r="B132" s="149">
        <v>10201041282</v>
      </c>
      <c r="C132" s="149" t="s">
        <v>197</v>
      </c>
      <c r="D132" s="150" t="s">
        <v>54</v>
      </c>
      <c r="E132" s="151">
        <v>3.38</v>
      </c>
      <c r="F132" s="151">
        <v>43</v>
      </c>
      <c r="G132" s="151">
        <v>145.34</v>
      </c>
      <c r="H132" s="151">
        <v>43</v>
      </c>
      <c r="I132" s="151">
        <v>145.34</v>
      </c>
      <c r="J132" s="151">
        <v>0</v>
      </c>
      <c r="K132" s="151">
        <v>0</v>
      </c>
      <c r="L132" s="58">
        <f>IF(K132&gt;=0,K132,0)</f>
        <v>0</v>
      </c>
      <c r="M132" s="58">
        <f>IF(K132&lt;=0,K132,0)</f>
        <v>0</v>
      </c>
      <c r="N132" s="58">
        <f>L132+-M132</f>
        <v>0</v>
      </c>
      <c r="O132" s="19"/>
      <c r="P132" s="19">
        <f t="shared" si="6"/>
        <v>0</v>
      </c>
      <c r="Q132" s="19">
        <f t="shared" si="7"/>
        <v>1</v>
      </c>
    </row>
    <row r="133" spans="2:17" x14ac:dyDescent="0.2">
      <c r="B133" s="149">
        <v>102010009</v>
      </c>
      <c r="C133" s="149" t="s">
        <v>81</v>
      </c>
      <c r="D133" s="150" t="s">
        <v>51</v>
      </c>
      <c r="E133" s="151">
        <v>2.8</v>
      </c>
      <c r="F133" s="151">
        <v>16</v>
      </c>
      <c r="G133" s="151">
        <v>44.8</v>
      </c>
      <c r="H133" s="151">
        <v>16</v>
      </c>
      <c r="I133" s="151">
        <v>44.8</v>
      </c>
      <c r="J133" s="151">
        <v>0</v>
      </c>
      <c r="K133" s="151">
        <v>0</v>
      </c>
      <c r="L133" s="58">
        <f>IF(K133&gt;=0,K133,0)</f>
        <v>0</v>
      </c>
      <c r="M133" s="58">
        <f>IF(K133&lt;=0,K133,0)</f>
        <v>0</v>
      </c>
      <c r="N133" s="58">
        <f>L133+-M133</f>
        <v>0</v>
      </c>
      <c r="O133" s="19"/>
      <c r="P133" s="19">
        <f t="shared" si="6"/>
        <v>0</v>
      </c>
      <c r="Q133" s="19">
        <f t="shared" si="7"/>
        <v>1</v>
      </c>
    </row>
    <row r="134" spans="2:17" x14ac:dyDescent="0.2">
      <c r="B134" s="149">
        <v>102010043</v>
      </c>
      <c r="C134" s="149" t="s">
        <v>412</v>
      </c>
      <c r="D134" s="150" t="s">
        <v>51</v>
      </c>
      <c r="E134" s="151">
        <v>4.8</v>
      </c>
      <c r="F134" s="151">
        <v>7</v>
      </c>
      <c r="G134" s="151">
        <v>33.6</v>
      </c>
      <c r="H134" s="151">
        <v>7</v>
      </c>
      <c r="I134" s="151">
        <v>33.6</v>
      </c>
      <c r="J134" s="151">
        <v>0</v>
      </c>
      <c r="K134" s="151">
        <v>0</v>
      </c>
      <c r="L134" s="58">
        <f>IF(K134&gt;=0,K134,0)</f>
        <v>0</v>
      </c>
      <c r="M134" s="58">
        <f>IF(K134&lt;=0,K134,0)</f>
        <v>0</v>
      </c>
      <c r="N134" s="58">
        <f>L134+-M134</f>
        <v>0</v>
      </c>
      <c r="O134" s="19"/>
      <c r="P134" s="19">
        <f t="shared" si="6"/>
        <v>0</v>
      </c>
      <c r="Q134" s="19">
        <f t="shared" si="7"/>
        <v>1</v>
      </c>
    </row>
    <row r="135" spans="2:17" x14ac:dyDescent="0.2">
      <c r="B135" s="149">
        <v>1020830555</v>
      </c>
      <c r="C135" s="149" t="s">
        <v>82</v>
      </c>
      <c r="D135" s="150" t="s">
        <v>54</v>
      </c>
      <c r="E135" s="151">
        <v>47.2</v>
      </c>
      <c r="F135" s="151">
        <v>6</v>
      </c>
      <c r="G135" s="151">
        <v>283.2</v>
      </c>
      <c r="H135" s="151">
        <v>6</v>
      </c>
      <c r="I135" s="151">
        <v>283.2</v>
      </c>
      <c r="J135" s="151">
        <v>0</v>
      </c>
      <c r="K135" s="151">
        <v>0</v>
      </c>
      <c r="L135" s="58">
        <f>IF(K135&gt;=0,K135,0)</f>
        <v>0</v>
      </c>
      <c r="M135" s="58">
        <f>IF(K135&lt;=0,K135,0)</f>
        <v>0</v>
      </c>
      <c r="N135" s="58">
        <f>L135+-M135</f>
        <v>0</v>
      </c>
      <c r="O135" s="19"/>
      <c r="P135" s="19">
        <f t="shared" ref="P135:P198" si="8">N135/$N$1055</f>
        <v>0</v>
      </c>
      <c r="Q135" s="19">
        <f t="shared" ref="Q135:Q198" si="9">P135+Q134</f>
        <v>1</v>
      </c>
    </row>
    <row r="136" spans="2:17" x14ac:dyDescent="0.2">
      <c r="B136" s="149">
        <v>403020008</v>
      </c>
      <c r="C136" s="149" t="s">
        <v>83</v>
      </c>
      <c r="D136" s="150" t="s">
        <v>51</v>
      </c>
      <c r="E136" s="151">
        <v>7.1431810000000002</v>
      </c>
      <c r="F136" s="151">
        <v>13</v>
      </c>
      <c r="G136" s="151">
        <v>92.861352999999994</v>
      </c>
      <c r="H136" s="151">
        <v>13</v>
      </c>
      <c r="I136" s="151">
        <v>92.861352999999994</v>
      </c>
      <c r="J136" s="151">
        <v>0</v>
      </c>
      <c r="K136" s="151">
        <v>0</v>
      </c>
      <c r="L136" s="58">
        <f>IF(K136&gt;=0,K136,0)</f>
        <v>0</v>
      </c>
      <c r="M136" s="58">
        <f>IF(K136&lt;=0,K136,0)</f>
        <v>0</v>
      </c>
      <c r="N136" s="58">
        <f>L136+-M136</f>
        <v>0</v>
      </c>
      <c r="O136" s="19"/>
      <c r="P136" s="19">
        <f t="shared" si="8"/>
        <v>0</v>
      </c>
      <c r="Q136" s="19">
        <f t="shared" si="9"/>
        <v>1</v>
      </c>
    </row>
    <row r="137" spans="2:17" x14ac:dyDescent="0.2">
      <c r="B137" s="149">
        <v>1020834106</v>
      </c>
      <c r="C137" s="149" t="s">
        <v>84</v>
      </c>
      <c r="D137" s="150" t="s">
        <v>75</v>
      </c>
      <c r="E137" s="151">
        <v>14.694667000000001</v>
      </c>
      <c r="F137" s="151">
        <v>2</v>
      </c>
      <c r="G137" s="151">
        <v>29.389334000000002</v>
      </c>
      <c r="H137" s="151">
        <v>2</v>
      </c>
      <c r="I137" s="151">
        <v>29.389334000000002</v>
      </c>
      <c r="J137" s="151">
        <v>0</v>
      </c>
      <c r="K137" s="151">
        <v>0</v>
      </c>
      <c r="L137" s="58">
        <f>IF(K137&gt;=0,K137,0)</f>
        <v>0</v>
      </c>
      <c r="M137" s="58">
        <f>IF(K137&lt;=0,K137,0)</f>
        <v>0</v>
      </c>
      <c r="N137" s="58">
        <f>L137+-M137</f>
        <v>0</v>
      </c>
      <c r="O137" s="19"/>
      <c r="P137" s="19">
        <f t="shared" si="8"/>
        <v>0</v>
      </c>
      <c r="Q137" s="19">
        <f t="shared" si="9"/>
        <v>1</v>
      </c>
    </row>
    <row r="138" spans="2:17" x14ac:dyDescent="0.2">
      <c r="B138" s="149">
        <v>1020530572</v>
      </c>
      <c r="C138" s="149" t="s">
        <v>443</v>
      </c>
      <c r="D138" s="150" t="s">
        <v>54</v>
      </c>
      <c r="E138" s="151">
        <v>27.5</v>
      </c>
      <c r="F138" s="151">
        <v>3</v>
      </c>
      <c r="G138" s="151">
        <v>82.5</v>
      </c>
      <c r="H138" s="151">
        <v>3</v>
      </c>
      <c r="I138" s="151">
        <v>82.5</v>
      </c>
      <c r="J138" s="151">
        <v>0</v>
      </c>
      <c r="K138" s="151">
        <v>0</v>
      </c>
      <c r="L138" s="58">
        <f>IF(K138&gt;=0,K138,0)</f>
        <v>0</v>
      </c>
      <c r="M138" s="58">
        <f>IF(K138&lt;=0,K138,0)</f>
        <v>0</v>
      </c>
      <c r="N138" s="58">
        <f>L138+-M138</f>
        <v>0</v>
      </c>
      <c r="O138" s="19"/>
      <c r="P138" s="19">
        <f t="shared" si="8"/>
        <v>0</v>
      </c>
      <c r="Q138" s="19">
        <f t="shared" si="9"/>
        <v>1</v>
      </c>
    </row>
    <row r="139" spans="2:17" x14ac:dyDescent="0.2">
      <c r="B139" s="149">
        <v>103020008</v>
      </c>
      <c r="C139" s="149" t="s">
        <v>85</v>
      </c>
      <c r="D139" s="150" t="s">
        <v>51</v>
      </c>
      <c r="E139" s="151">
        <v>13.594735999999999</v>
      </c>
      <c r="F139" s="151">
        <v>65.400000000000006</v>
      </c>
      <c r="G139" s="151">
        <v>889.09573399999999</v>
      </c>
      <c r="H139" s="151">
        <v>65.400000000000006</v>
      </c>
      <c r="I139" s="151">
        <v>889.09573399999999</v>
      </c>
      <c r="J139" s="151">
        <v>0</v>
      </c>
      <c r="K139" s="151">
        <v>0</v>
      </c>
      <c r="L139" s="58">
        <f>IF(K139&gt;=0,K139,0)</f>
        <v>0</v>
      </c>
      <c r="M139" s="58">
        <f>IF(K139&lt;=0,K139,0)</f>
        <v>0</v>
      </c>
      <c r="N139" s="58">
        <f>L139+-M139</f>
        <v>0</v>
      </c>
      <c r="O139" s="19"/>
      <c r="P139" s="19">
        <f t="shared" si="8"/>
        <v>0</v>
      </c>
      <c r="Q139" s="19">
        <f t="shared" si="9"/>
        <v>1</v>
      </c>
    </row>
    <row r="140" spans="2:17" x14ac:dyDescent="0.2">
      <c r="B140" s="149">
        <v>4010127698</v>
      </c>
      <c r="C140" s="149" t="s">
        <v>280</v>
      </c>
      <c r="D140" s="150" t="s">
        <v>51</v>
      </c>
      <c r="E140" s="151">
        <v>34.045988999999999</v>
      </c>
      <c r="F140" s="151">
        <v>124.68</v>
      </c>
      <c r="G140" s="152">
        <v>4244.8539090000004</v>
      </c>
      <c r="H140" s="151">
        <v>124.68</v>
      </c>
      <c r="I140" s="152">
        <v>4244.8539090000004</v>
      </c>
      <c r="J140" s="151">
        <v>0</v>
      </c>
      <c r="K140" s="151">
        <v>0</v>
      </c>
      <c r="L140" s="58">
        <f>IF(K140&gt;=0,K140,0)</f>
        <v>0</v>
      </c>
      <c r="M140" s="58">
        <f>IF(K140&lt;=0,K140,0)</f>
        <v>0</v>
      </c>
      <c r="N140" s="58">
        <f>L140+-M140</f>
        <v>0</v>
      </c>
      <c r="O140" s="19"/>
      <c r="P140" s="19">
        <f t="shared" si="8"/>
        <v>0</v>
      </c>
      <c r="Q140" s="19">
        <f t="shared" si="9"/>
        <v>1</v>
      </c>
    </row>
    <row r="141" spans="2:17" x14ac:dyDescent="0.2">
      <c r="B141" s="149">
        <v>20507043266</v>
      </c>
      <c r="C141" s="149" t="s">
        <v>413</v>
      </c>
      <c r="D141" s="150" t="s">
        <v>58</v>
      </c>
      <c r="E141" s="151">
        <v>71.06</v>
      </c>
      <c r="F141" s="151">
        <v>9</v>
      </c>
      <c r="G141" s="151">
        <v>639.54</v>
      </c>
      <c r="H141" s="151">
        <v>9</v>
      </c>
      <c r="I141" s="151">
        <v>639.54</v>
      </c>
      <c r="J141" s="151">
        <v>0</v>
      </c>
      <c r="K141" s="151">
        <v>0</v>
      </c>
      <c r="L141" s="58">
        <f>IF(K141&gt;=0,K141,0)</f>
        <v>0</v>
      </c>
      <c r="M141" s="58">
        <f>IF(K141&lt;=0,K141,0)</f>
        <v>0</v>
      </c>
      <c r="N141" s="58">
        <f>L141+-M141</f>
        <v>0</v>
      </c>
      <c r="O141" s="19"/>
      <c r="P141" s="19">
        <f t="shared" si="8"/>
        <v>0</v>
      </c>
      <c r="Q141" s="19">
        <f t="shared" si="9"/>
        <v>1</v>
      </c>
    </row>
    <row r="142" spans="2:17" x14ac:dyDescent="0.2">
      <c r="B142" s="149">
        <v>10202038227</v>
      </c>
      <c r="C142" s="149" t="s">
        <v>314</v>
      </c>
      <c r="D142" s="150" t="s">
        <v>54</v>
      </c>
      <c r="E142" s="151">
        <v>18.899999999999999</v>
      </c>
      <c r="F142" s="151">
        <v>5</v>
      </c>
      <c r="G142" s="151">
        <v>94.5</v>
      </c>
      <c r="H142" s="151">
        <v>5</v>
      </c>
      <c r="I142" s="151">
        <v>94.5</v>
      </c>
      <c r="J142" s="151">
        <v>0</v>
      </c>
      <c r="K142" s="151">
        <v>0</v>
      </c>
      <c r="L142" s="58">
        <f>IF(K142&gt;=0,K142,0)</f>
        <v>0</v>
      </c>
      <c r="M142" s="58">
        <f>IF(K142&lt;=0,K142,0)</f>
        <v>0</v>
      </c>
      <c r="N142" s="58">
        <f>L142+-M142</f>
        <v>0</v>
      </c>
      <c r="O142" s="19"/>
      <c r="P142" s="19">
        <f t="shared" si="8"/>
        <v>0</v>
      </c>
      <c r="Q142" s="19">
        <f t="shared" si="9"/>
        <v>1</v>
      </c>
    </row>
    <row r="143" spans="2:17" x14ac:dyDescent="0.2">
      <c r="B143" s="149">
        <v>50607037455</v>
      </c>
      <c r="C143" s="149" t="s">
        <v>86</v>
      </c>
      <c r="D143" s="150" t="s">
        <v>87</v>
      </c>
      <c r="E143" s="151">
        <v>10.71</v>
      </c>
      <c r="F143" s="151">
        <v>45</v>
      </c>
      <c r="G143" s="151">
        <v>481.95</v>
      </c>
      <c r="H143" s="151">
        <v>45</v>
      </c>
      <c r="I143" s="151">
        <v>481.95</v>
      </c>
      <c r="J143" s="151">
        <v>0</v>
      </c>
      <c r="K143" s="151">
        <v>0</v>
      </c>
      <c r="L143" s="58">
        <f>IF(K143&gt;=0,K143,0)</f>
        <v>0</v>
      </c>
      <c r="M143" s="58">
        <f>IF(K143&lt;=0,K143,0)</f>
        <v>0</v>
      </c>
      <c r="N143" s="58">
        <f>L143+-M143</f>
        <v>0</v>
      </c>
      <c r="O143" s="19"/>
      <c r="P143" s="19">
        <f t="shared" si="8"/>
        <v>0</v>
      </c>
      <c r="Q143" s="19">
        <f t="shared" si="9"/>
        <v>1</v>
      </c>
    </row>
    <row r="144" spans="2:17" x14ac:dyDescent="0.2">
      <c r="B144" s="149">
        <v>101090278</v>
      </c>
      <c r="C144" s="149" t="s">
        <v>198</v>
      </c>
      <c r="D144" s="150" t="s">
        <v>65</v>
      </c>
      <c r="E144" s="151">
        <v>12.728282</v>
      </c>
      <c r="F144" s="151">
        <v>20</v>
      </c>
      <c r="G144" s="151">
        <v>254.56564</v>
      </c>
      <c r="H144" s="151">
        <v>20</v>
      </c>
      <c r="I144" s="151">
        <v>254.56564</v>
      </c>
      <c r="J144" s="151">
        <v>0</v>
      </c>
      <c r="K144" s="151">
        <v>0</v>
      </c>
      <c r="L144" s="58">
        <f>IF(K144&gt;=0,K144,0)</f>
        <v>0</v>
      </c>
      <c r="M144" s="58">
        <f>IF(K144&lt;=0,K144,0)</f>
        <v>0</v>
      </c>
      <c r="N144" s="58">
        <f>L144+-M144</f>
        <v>0</v>
      </c>
      <c r="O144" s="19"/>
      <c r="P144" s="19">
        <f t="shared" si="8"/>
        <v>0</v>
      </c>
      <c r="Q144" s="19">
        <f t="shared" si="9"/>
        <v>1</v>
      </c>
    </row>
    <row r="145" spans="2:17" x14ac:dyDescent="0.2">
      <c r="B145" s="149" t="s">
        <v>220</v>
      </c>
      <c r="C145" s="149" t="s">
        <v>221</v>
      </c>
      <c r="D145" s="150" t="s">
        <v>65</v>
      </c>
      <c r="E145" s="151">
        <v>2.056</v>
      </c>
      <c r="F145" s="151">
        <v>123</v>
      </c>
      <c r="G145" s="151">
        <v>252.88800000000001</v>
      </c>
      <c r="H145" s="151">
        <v>123</v>
      </c>
      <c r="I145" s="151">
        <v>252.88800000000001</v>
      </c>
      <c r="J145" s="151">
        <v>0</v>
      </c>
      <c r="K145" s="151">
        <v>0</v>
      </c>
      <c r="L145" s="58">
        <f>IF(K145&gt;=0,K145,0)</f>
        <v>0</v>
      </c>
      <c r="M145" s="58">
        <f>IF(K145&lt;=0,K145,0)</f>
        <v>0</v>
      </c>
      <c r="N145" s="58">
        <f>L145+-M145</f>
        <v>0</v>
      </c>
      <c r="O145" s="19"/>
      <c r="P145" s="19">
        <f t="shared" si="8"/>
        <v>0</v>
      </c>
      <c r="Q145" s="19">
        <f t="shared" si="9"/>
        <v>1</v>
      </c>
    </row>
    <row r="146" spans="2:17" x14ac:dyDescent="0.2">
      <c r="B146" s="149" t="s">
        <v>222</v>
      </c>
      <c r="C146" s="149" t="s">
        <v>223</v>
      </c>
      <c r="D146" s="150" t="s">
        <v>65</v>
      </c>
      <c r="E146" s="151">
        <v>3.718</v>
      </c>
      <c r="F146" s="151">
        <v>40</v>
      </c>
      <c r="G146" s="151">
        <v>148.72</v>
      </c>
      <c r="H146" s="151">
        <v>40</v>
      </c>
      <c r="I146" s="151">
        <v>148.72</v>
      </c>
      <c r="J146" s="151">
        <v>0</v>
      </c>
      <c r="K146" s="151">
        <v>0</v>
      </c>
      <c r="L146" s="58">
        <f>IF(K146&gt;=0,K146,0)</f>
        <v>0</v>
      </c>
      <c r="M146" s="58">
        <f>IF(K146&lt;=0,K146,0)</f>
        <v>0</v>
      </c>
      <c r="N146" s="58">
        <f>L146+-M146</f>
        <v>0</v>
      </c>
      <c r="O146" s="19"/>
      <c r="P146" s="19">
        <f t="shared" si="8"/>
        <v>0</v>
      </c>
      <c r="Q146" s="19">
        <f t="shared" si="9"/>
        <v>1</v>
      </c>
    </row>
    <row r="147" spans="2:17" x14ac:dyDescent="0.2">
      <c r="B147" s="149">
        <v>60202043910</v>
      </c>
      <c r="C147" s="149" t="s">
        <v>383</v>
      </c>
      <c r="D147" s="150" t="s">
        <v>65</v>
      </c>
      <c r="E147" s="151">
        <v>4.88</v>
      </c>
      <c r="F147" s="151">
        <v>18</v>
      </c>
      <c r="G147" s="151">
        <v>87.84</v>
      </c>
      <c r="H147" s="151">
        <v>18</v>
      </c>
      <c r="I147" s="151">
        <v>87.84</v>
      </c>
      <c r="J147" s="151">
        <v>0</v>
      </c>
      <c r="K147" s="151">
        <v>0</v>
      </c>
      <c r="L147" s="58">
        <f>IF(K147&gt;=0,K147,0)</f>
        <v>0</v>
      </c>
      <c r="M147" s="58">
        <f>IF(K147&lt;=0,K147,0)</f>
        <v>0</v>
      </c>
      <c r="N147" s="58">
        <f>L147+-M147</f>
        <v>0</v>
      </c>
      <c r="O147" s="19"/>
      <c r="P147" s="19">
        <f t="shared" si="8"/>
        <v>0</v>
      </c>
      <c r="Q147" s="19">
        <f t="shared" si="9"/>
        <v>1</v>
      </c>
    </row>
    <row r="148" spans="2:17" x14ac:dyDescent="0.2">
      <c r="B148" s="149">
        <v>70009</v>
      </c>
      <c r="C148" s="149" t="s">
        <v>315</v>
      </c>
      <c r="D148" s="150" t="s">
        <v>51</v>
      </c>
      <c r="E148" s="151">
        <v>47.483623999999999</v>
      </c>
      <c r="F148" s="151">
        <v>20.6</v>
      </c>
      <c r="G148" s="151">
        <v>978.16265399999997</v>
      </c>
      <c r="H148" s="151">
        <v>20.6</v>
      </c>
      <c r="I148" s="151">
        <v>978.16265399999997</v>
      </c>
      <c r="J148" s="151">
        <v>0</v>
      </c>
      <c r="K148" s="151">
        <v>0</v>
      </c>
      <c r="L148" s="58">
        <f>IF(K148&gt;=0,K148,0)</f>
        <v>0</v>
      </c>
      <c r="M148" s="58">
        <f>IF(K148&lt;=0,K148,0)</f>
        <v>0</v>
      </c>
      <c r="N148" s="58">
        <f>L148+-M148</f>
        <v>0</v>
      </c>
      <c r="O148" s="19"/>
      <c r="P148" s="19">
        <f t="shared" si="8"/>
        <v>0</v>
      </c>
      <c r="Q148" s="19">
        <f t="shared" si="9"/>
        <v>1</v>
      </c>
    </row>
    <row r="149" spans="2:17" x14ac:dyDescent="0.2">
      <c r="B149" s="149">
        <v>1010430441</v>
      </c>
      <c r="C149" s="149" t="s">
        <v>281</v>
      </c>
      <c r="D149" s="150" t="s">
        <v>65</v>
      </c>
      <c r="E149" s="151">
        <v>72.5</v>
      </c>
      <c r="F149" s="151">
        <v>0.7</v>
      </c>
      <c r="G149" s="151">
        <v>50.75</v>
      </c>
      <c r="H149" s="151">
        <v>0.7</v>
      </c>
      <c r="I149" s="151">
        <v>50.75</v>
      </c>
      <c r="J149" s="151">
        <v>0</v>
      </c>
      <c r="K149" s="151">
        <v>0</v>
      </c>
      <c r="L149" s="58">
        <f>IF(K149&gt;=0,K149,0)</f>
        <v>0</v>
      </c>
      <c r="M149" s="58">
        <f>IF(K149&lt;=0,K149,0)</f>
        <v>0</v>
      </c>
      <c r="N149" s="58">
        <f>L149+-M149</f>
        <v>0</v>
      </c>
      <c r="O149" s="19"/>
      <c r="P149" s="19">
        <f t="shared" si="8"/>
        <v>0</v>
      </c>
      <c r="Q149" s="19">
        <f t="shared" si="9"/>
        <v>1</v>
      </c>
    </row>
    <row r="150" spans="2:17" x14ac:dyDescent="0.2">
      <c r="B150" s="149">
        <v>2103031890</v>
      </c>
      <c r="C150" s="149" t="s">
        <v>444</v>
      </c>
      <c r="D150" s="150" t="s">
        <v>58</v>
      </c>
      <c r="E150" s="151">
        <v>2.9159999999999999</v>
      </c>
      <c r="F150" s="151">
        <v>96</v>
      </c>
      <c r="G150" s="151">
        <v>279.93599999999998</v>
      </c>
      <c r="H150" s="151">
        <v>96</v>
      </c>
      <c r="I150" s="151">
        <v>279.93599999999998</v>
      </c>
      <c r="J150" s="151">
        <v>0</v>
      </c>
      <c r="K150" s="151">
        <v>0</v>
      </c>
      <c r="L150" s="58">
        <f>IF(K150&gt;=0,K150,0)</f>
        <v>0</v>
      </c>
      <c r="M150" s="58">
        <f>IF(K150&lt;=0,K150,0)</f>
        <v>0</v>
      </c>
      <c r="N150" s="58">
        <f>L150+-M150</f>
        <v>0</v>
      </c>
      <c r="O150" s="19"/>
      <c r="P150" s="19">
        <f t="shared" si="8"/>
        <v>0</v>
      </c>
      <c r="Q150" s="19">
        <f t="shared" si="9"/>
        <v>1</v>
      </c>
    </row>
    <row r="151" spans="2:17" x14ac:dyDescent="0.2">
      <c r="B151" s="149">
        <v>210203038421</v>
      </c>
      <c r="C151" s="149" t="s">
        <v>384</v>
      </c>
      <c r="D151" s="150" t="s">
        <v>58</v>
      </c>
      <c r="E151" s="151">
        <v>3.08</v>
      </c>
      <c r="F151" s="151">
        <v>40</v>
      </c>
      <c r="G151" s="151">
        <v>123.2</v>
      </c>
      <c r="H151" s="151">
        <v>40</v>
      </c>
      <c r="I151" s="151">
        <v>123.2</v>
      </c>
      <c r="J151" s="151">
        <v>0</v>
      </c>
      <c r="K151" s="151">
        <v>0</v>
      </c>
      <c r="L151" s="58">
        <f>IF(K151&gt;=0,K151,0)</f>
        <v>0</v>
      </c>
      <c r="M151" s="58">
        <f>IF(K151&lt;=0,K151,0)</f>
        <v>0</v>
      </c>
      <c r="N151" s="58">
        <f>L151+-M151</f>
        <v>0</v>
      </c>
      <c r="O151" s="19"/>
      <c r="P151" s="19">
        <f t="shared" si="8"/>
        <v>0</v>
      </c>
      <c r="Q151" s="19">
        <f t="shared" si="9"/>
        <v>1</v>
      </c>
    </row>
    <row r="152" spans="2:17" x14ac:dyDescent="0.2">
      <c r="B152" s="149" t="s">
        <v>255</v>
      </c>
      <c r="C152" s="149" t="s">
        <v>256</v>
      </c>
      <c r="D152" s="150" t="s">
        <v>65</v>
      </c>
      <c r="E152" s="151">
        <v>42.206000000000003</v>
      </c>
      <c r="F152" s="151">
        <v>13</v>
      </c>
      <c r="G152" s="151">
        <v>548.678</v>
      </c>
      <c r="H152" s="151">
        <v>13</v>
      </c>
      <c r="I152" s="151">
        <v>548.678</v>
      </c>
      <c r="J152" s="151">
        <v>0</v>
      </c>
      <c r="K152" s="151">
        <v>0</v>
      </c>
      <c r="L152" s="58">
        <f>IF(K152&gt;=0,K152,0)</f>
        <v>0</v>
      </c>
      <c r="M152" s="58">
        <f>IF(K152&lt;=0,K152,0)</f>
        <v>0</v>
      </c>
      <c r="N152" s="58">
        <f>L152+-M152</f>
        <v>0</v>
      </c>
      <c r="O152" s="19"/>
      <c r="P152" s="19">
        <f t="shared" si="8"/>
        <v>0</v>
      </c>
      <c r="Q152" s="19">
        <f t="shared" si="9"/>
        <v>1</v>
      </c>
    </row>
    <row r="153" spans="2:17" x14ac:dyDescent="0.2">
      <c r="B153" s="149" t="s">
        <v>445</v>
      </c>
      <c r="C153" s="149" t="s">
        <v>446</v>
      </c>
      <c r="D153" s="150" t="s">
        <v>65</v>
      </c>
      <c r="E153" s="151">
        <v>61.735999999999997</v>
      </c>
      <c r="F153" s="151">
        <v>7</v>
      </c>
      <c r="G153" s="151">
        <v>432.15199999999999</v>
      </c>
      <c r="H153" s="151">
        <v>7</v>
      </c>
      <c r="I153" s="151">
        <v>432.15199999999999</v>
      </c>
      <c r="J153" s="151">
        <v>0</v>
      </c>
      <c r="K153" s="151">
        <v>0</v>
      </c>
      <c r="L153" s="58">
        <f>IF(K153&gt;=0,K153,0)</f>
        <v>0</v>
      </c>
      <c r="M153" s="58">
        <f>IF(K153&lt;=0,K153,0)</f>
        <v>0</v>
      </c>
      <c r="N153" s="58">
        <f>L153+-M153</f>
        <v>0</v>
      </c>
      <c r="O153" s="19"/>
      <c r="P153" s="19">
        <f t="shared" si="8"/>
        <v>0</v>
      </c>
      <c r="Q153" s="19">
        <f t="shared" si="9"/>
        <v>1</v>
      </c>
    </row>
    <row r="154" spans="2:17" x14ac:dyDescent="0.2">
      <c r="B154" s="149" t="s">
        <v>257</v>
      </c>
      <c r="C154" s="149" t="s">
        <v>258</v>
      </c>
      <c r="D154" s="150" t="s">
        <v>65</v>
      </c>
      <c r="E154" s="151">
        <v>68.061000000000007</v>
      </c>
      <c r="F154" s="151">
        <v>7</v>
      </c>
      <c r="G154" s="151">
        <v>476.42700000000002</v>
      </c>
      <c r="H154" s="151">
        <v>7</v>
      </c>
      <c r="I154" s="151">
        <v>476.42700000000002</v>
      </c>
      <c r="J154" s="151">
        <v>0</v>
      </c>
      <c r="K154" s="151">
        <v>0</v>
      </c>
      <c r="L154" s="58">
        <f>IF(K154&gt;=0,K154,0)</f>
        <v>0</v>
      </c>
      <c r="M154" s="58">
        <f>IF(K154&lt;=0,K154,0)</f>
        <v>0</v>
      </c>
      <c r="N154" s="58">
        <f>L154+-M154</f>
        <v>0</v>
      </c>
      <c r="O154" s="19"/>
      <c r="P154" s="19">
        <f t="shared" si="8"/>
        <v>0</v>
      </c>
      <c r="Q154" s="19">
        <f t="shared" si="9"/>
        <v>1</v>
      </c>
    </row>
    <row r="155" spans="2:17" x14ac:dyDescent="0.2">
      <c r="B155" s="149" t="s">
        <v>355</v>
      </c>
      <c r="C155" s="149" t="s">
        <v>356</v>
      </c>
      <c r="D155" s="150" t="s">
        <v>65</v>
      </c>
      <c r="E155" s="151">
        <v>42.206000000000003</v>
      </c>
      <c r="F155" s="151">
        <v>4</v>
      </c>
      <c r="G155" s="151">
        <v>168.82400000000001</v>
      </c>
      <c r="H155" s="151">
        <v>4</v>
      </c>
      <c r="I155" s="151">
        <v>168.82400000000001</v>
      </c>
      <c r="J155" s="151">
        <v>0</v>
      </c>
      <c r="K155" s="151">
        <v>0</v>
      </c>
      <c r="L155" s="58">
        <f>IF(K155&gt;=0,K155,0)</f>
        <v>0</v>
      </c>
      <c r="M155" s="58">
        <f>IF(K155&lt;=0,K155,0)</f>
        <v>0</v>
      </c>
      <c r="N155" s="58">
        <f>L155+-M155</f>
        <v>0</v>
      </c>
      <c r="O155" s="19"/>
      <c r="P155" s="19">
        <f t="shared" si="8"/>
        <v>0</v>
      </c>
      <c r="Q155" s="19">
        <f t="shared" si="9"/>
        <v>1</v>
      </c>
    </row>
    <row r="156" spans="2:17" x14ac:dyDescent="0.2">
      <c r="B156" s="149" t="s">
        <v>224</v>
      </c>
      <c r="C156" s="149" t="s">
        <v>225</v>
      </c>
      <c r="D156" s="150" t="s">
        <v>65</v>
      </c>
      <c r="E156" s="151">
        <v>45.218000000000004</v>
      </c>
      <c r="F156" s="151">
        <v>8</v>
      </c>
      <c r="G156" s="151">
        <v>361.74400000000003</v>
      </c>
      <c r="H156" s="151">
        <v>8</v>
      </c>
      <c r="I156" s="151">
        <v>361.74400000000003</v>
      </c>
      <c r="J156" s="151">
        <v>0</v>
      </c>
      <c r="K156" s="151">
        <v>0</v>
      </c>
      <c r="L156" s="58">
        <f>IF(K156&gt;=0,K156,0)</f>
        <v>0</v>
      </c>
      <c r="M156" s="58">
        <f>IF(K156&lt;=0,K156,0)</f>
        <v>0</v>
      </c>
      <c r="N156" s="58">
        <f>L156+-M156</f>
        <v>0</v>
      </c>
      <c r="O156" s="19"/>
      <c r="P156" s="19">
        <f t="shared" si="8"/>
        <v>0</v>
      </c>
      <c r="Q156" s="19">
        <f t="shared" si="9"/>
        <v>1</v>
      </c>
    </row>
    <row r="157" spans="2:17" x14ac:dyDescent="0.2">
      <c r="B157" s="149" t="s">
        <v>226</v>
      </c>
      <c r="C157" s="149" t="s">
        <v>227</v>
      </c>
      <c r="D157" s="150" t="s">
        <v>65</v>
      </c>
      <c r="E157" s="151">
        <v>56.493000000000002</v>
      </c>
      <c r="F157" s="151">
        <v>6</v>
      </c>
      <c r="G157" s="151">
        <v>338.95800000000003</v>
      </c>
      <c r="H157" s="151">
        <v>6</v>
      </c>
      <c r="I157" s="151">
        <v>338.95800000000003</v>
      </c>
      <c r="J157" s="151">
        <v>0</v>
      </c>
      <c r="K157" s="151">
        <v>0</v>
      </c>
      <c r="L157" s="58">
        <f>IF(K157&gt;=0,K157,0)</f>
        <v>0</v>
      </c>
      <c r="M157" s="58">
        <f>IF(K157&lt;=0,K157,0)</f>
        <v>0</v>
      </c>
      <c r="N157" s="58">
        <f>L157+-M157</f>
        <v>0</v>
      </c>
      <c r="O157" s="19"/>
      <c r="P157" s="19">
        <f t="shared" si="8"/>
        <v>0</v>
      </c>
      <c r="Q157" s="19">
        <f t="shared" si="9"/>
        <v>1</v>
      </c>
    </row>
    <row r="158" spans="2:17" x14ac:dyDescent="0.2">
      <c r="B158" s="149" t="s">
        <v>282</v>
      </c>
      <c r="C158" s="149" t="s">
        <v>283</v>
      </c>
      <c r="D158" s="150" t="s">
        <v>65</v>
      </c>
      <c r="E158" s="151">
        <v>381.35599999999999</v>
      </c>
      <c r="F158" s="151">
        <v>2.2999999999999998</v>
      </c>
      <c r="G158" s="151">
        <v>877.11879999999996</v>
      </c>
      <c r="H158" s="151">
        <v>2.2999999999999998</v>
      </c>
      <c r="I158" s="151">
        <v>877.11879999999996</v>
      </c>
      <c r="J158" s="151">
        <v>0</v>
      </c>
      <c r="K158" s="151">
        <v>0</v>
      </c>
      <c r="L158" s="58">
        <f>IF(K158&gt;=0,K158,0)</f>
        <v>0</v>
      </c>
      <c r="M158" s="58">
        <f>IF(K158&lt;=0,K158,0)</f>
        <v>0</v>
      </c>
      <c r="N158" s="58">
        <f>L158+-M158</f>
        <v>0</v>
      </c>
      <c r="O158" s="19"/>
      <c r="P158" s="19">
        <f t="shared" si="8"/>
        <v>0</v>
      </c>
      <c r="Q158" s="19">
        <f t="shared" si="9"/>
        <v>1</v>
      </c>
    </row>
    <row r="159" spans="2:17" x14ac:dyDescent="0.2">
      <c r="B159" s="149">
        <v>1020835049</v>
      </c>
      <c r="C159" s="149" t="s">
        <v>228</v>
      </c>
      <c r="D159" s="150" t="s">
        <v>47</v>
      </c>
      <c r="E159" s="151">
        <v>15.58</v>
      </c>
      <c r="F159" s="151">
        <v>1</v>
      </c>
      <c r="G159" s="151">
        <v>15.58</v>
      </c>
      <c r="H159" s="151">
        <v>1</v>
      </c>
      <c r="I159" s="151">
        <v>15.58</v>
      </c>
      <c r="J159" s="151">
        <v>0</v>
      </c>
      <c r="K159" s="151">
        <v>0</v>
      </c>
      <c r="L159" s="58">
        <f>IF(K159&gt;=0,K159,0)</f>
        <v>0</v>
      </c>
      <c r="M159" s="58">
        <f>IF(K159&lt;=0,K159,0)</f>
        <v>0</v>
      </c>
      <c r="N159" s="58">
        <f>L159+-M159</f>
        <v>0</v>
      </c>
      <c r="O159" s="19"/>
      <c r="P159" s="19">
        <f t="shared" si="8"/>
        <v>0</v>
      </c>
      <c r="Q159" s="19">
        <f t="shared" si="9"/>
        <v>1</v>
      </c>
    </row>
    <row r="160" spans="2:17" x14ac:dyDescent="0.2">
      <c r="B160" s="149">
        <v>10208037699</v>
      </c>
      <c r="C160" s="149" t="s">
        <v>90</v>
      </c>
      <c r="D160" s="150" t="s">
        <v>47</v>
      </c>
      <c r="E160" s="151">
        <v>10.386946999999999</v>
      </c>
      <c r="F160" s="151">
        <v>12</v>
      </c>
      <c r="G160" s="151">
        <v>124.64336400000001</v>
      </c>
      <c r="H160" s="151">
        <v>12</v>
      </c>
      <c r="I160" s="151">
        <v>124.64336400000001</v>
      </c>
      <c r="J160" s="151">
        <v>0</v>
      </c>
      <c r="K160" s="151">
        <v>0</v>
      </c>
      <c r="L160" s="58">
        <f>IF(K160&gt;=0,K160,0)</f>
        <v>0</v>
      </c>
      <c r="M160" s="58">
        <f>IF(K160&lt;=0,K160,0)</f>
        <v>0</v>
      </c>
      <c r="N160" s="58">
        <f>L160+-M160</f>
        <v>0</v>
      </c>
      <c r="O160" s="19"/>
      <c r="P160" s="19">
        <f t="shared" si="8"/>
        <v>0</v>
      </c>
      <c r="Q160" s="19">
        <f t="shared" si="9"/>
        <v>1</v>
      </c>
    </row>
    <row r="161" spans="2:17" x14ac:dyDescent="0.2">
      <c r="B161" s="149">
        <v>103010009</v>
      </c>
      <c r="C161" s="149" t="s">
        <v>385</v>
      </c>
      <c r="D161" s="150" t="s">
        <v>51</v>
      </c>
      <c r="E161" s="151">
        <v>5.84</v>
      </c>
      <c r="F161" s="151">
        <v>2</v>
      </c>
      <c r="G161" s="151">
        <v>11.68</v>
      </c>
      <c r="H161" s="151">
        <v>2</v>
      </c>
      <c r="I161" s="151">
        <v>11.68</v>
      </c>
      <c r="J161" s="151">
        <v>0</v>
      </c>
      <c r="K161" s="151">
        <v>0</v>
      </c>
      <c r="L161" s="58">
        <f>IF(K161&gt;=0,K161,0)</f>
        <v>0</v>
      </c>
      <c r="M161" s="58">
        <f>IF(K161&lt;=0,K161,0)</f>
        <v>0</v>
      </c>
      <c r="N161" s="58">
        <f>L161+-M161</f>
        <v>0</v>
      </c>
      <c r="O161" s="19"/>
      <c r="P161" s="19">
        <f t="shared" si="8"/>
        <v>0</v>
      </c>
      <c r="Q161" s="19">
        <f t="shared" si="9"/>
        <v>1</v>
      </c>
    </row>
    <row r="162" spans="2:17" x14ac:dyDescent="0.2">
      <c r="B162" s="149">
        <v>102010054</v>
      </c>
      <c r="C162" s="149" t="s">
        <v>91</v>
      </c>
      <c r="D162" s="150" t="s">
        <v>51</v>
      </c>
      <c r="E162" s="151">
        <v>5.33</v>
      </c>
      <c r="F162" s="151">
        <v>28.5</v>
      </c>
      <c r="G162" s="151">
        <v>151.905</v>
      </c>
      <c r="H162" s="151">
        <v>28.5</v>
      </c>
      <c r="I162" s="151">
        <v>151.905</v>
      </c>
      <c r="J162" s="151">
        <v>0</v>
      </c>
      <c r="K162" s="151">
        <v>0</v>
      </c>
      <c r="L162" s="58">
        <f>IF(K162&gt;=0,K162,0)</f>
        <v>0</v>
      </c>
      <c r="M162" s="58">
        <f>IF(K162&lt;=0,K162,0)</f>
        <v>0</v>
      </c>
      <c r="N162" s="58">
        <f>L162+-M162</f>
        <v>0</v>
      </c>
      <c r="O162" s="19"/>
      <c r="P162" s="19">
        <f t="shared" si="8"/>
        <v>0</v>
      </c>
      <c r="Q162" s="19">
        <f t="shared" si="9"/>
        <v>1</v>
      </c>
    </row>
    <row r="163" spans="2:17" x14ac:dyDescent="0.2">
      <c r="B163" s="149">
        <v>20402043352</v>
      </c>
      <c r="C163" s="149" t="s">
        <v>447</v>
      </c>
      <c r="D163" s="150" t="s">
        <v>58</v>
      </c>
      <c r="E163" s="151">
        <v>3.6739999999999999</v>
      </c>
      <c r="F163" s="151">
        <v>10</v>
      </c>
      <c r="G163" s="151">
        <v>36.74</v>
      </c>
      <c r="H163" s="151">
        <v>10</v>
      </c>
      <c r="I163" s="151">
        <v>36.74</v>
      </c>
      <c r="J163" s="151">
        <v>0</v>
      </c>
      <c r="K163" s="151">
        <v>0</v>
      </c>
      <c r="L163" s="58">
        <f>IF(K163&gt;=0,K163,0)</f>
        <v>0</v>
      </c>
      <c r="M163" s="58">
        <f>IF(K163&lt;=0,K163,0)</f>
        <v>0</v>
      </c>
      <c r="N163" s="58">
        <f>L163+-M163</f>
        <v>0</v>
      </c>
      <c r="O163" s="19"/>
      <c r="P163" s="19">
        <f t="shared" si="8"/>
        <v>0</v>
      </c>
      <c r="Q163" s="19">
        <f t="shared" si="9"/>
        <v>1</v>
      </c>
    </row>
    <row r="164" spans="2:17" x14ac:dyDescent="0.2">
      <c r="B164" s="149">
        <v>20402042572</v>
      </c>
      <c r="C164" s="149" t="s">
        <v>316</v>
      </c>
      <c r="D164" s="150" t="s">
        <v>58</v>
      </c>
      <c r="E164" s="151">
        <v>4.4800000000000004</v>
      </c>
      <c r="F164" s="151">
        <v>66</v>
      </c>
      <c r="G164" s="151">
        <v>295.68</v>
      </c>
      <c r="H164" s="151">
        <v>66</v>
      </c>
      <c r="I164" s="151">
        <v>295.68</v>
      </c>
      <c r="J164" s="151">
        <v>0</v>
      </c>
      <c r="K164" s="151">
        <v>0</v>
      </c>
      <c r="L164" s="58">
        <f>IF(K164&gt;=0,K164,0)</f>
        <v>0</v>
      </c>
      <c r="M164" s="58">
        <f>IF(K164&lt;=0,K164,0)</f>
        <v>0</v>
      </c>
      <c r="N164" s="58">
        <f>L164+-M164</f>
        <v>0</v>
      </c>
      <c r="O164" s="19"/>
      <c r="P164" s="19">
        <f t="shared" si="8"/>
        <v>0</v>
      </c>
      <c r="Q164" s="19">
        <f t="shared" si="9"/>
        <v>1</v>
      </c>
    </row>
    <row r="165" spans="2:17" x14ac:dyDescent="0.2">
      <c r="B165" s="149">
        <v>2040236605</v>
      </c>
      <c r="C165" s="149" t="s">
        <v>405</v>
      </c>
      <c r="D165" s="150" t="s">
        <v>58</v>
      </c>
      <c r="E165" s="151">
        <v>8.5500000000000007</v>
      </c>
      <c r="F165" s="151">
        <v>162</v>
      </c>
      <c r="G165" s="152">
        <v>1385.1</v>
      </c>
      <c r="H165" s="151">
        <v>162</v>
      </c>
      <c r="I165" s="152">
        <v>1385.1</v>
      </c>
      <c r="J165" s="151">
        <v>0</v>
      </c>
      <c r="K165" s="151">
        <v>0</v>
      </c>
      <c r="L165" s="58">
        <f>IF(K165&gt;=0,K165,0)</f>
        <v>0</v>
      </c>
      <c r="M165" s="58">
        <f>IF(K165&lt;=0,K165,0)</f>
        <v>0</v>
      </c>
      <c r="N165" s="58">
        <f>L165+-M165</f>
        <v>0</v>
      </c>
      <c r="O165" s="19"/>
      <c r="P165" s="19">
        <f t="shared" si="8"/>
        <v>0</v>
      </c>
      <c r="Q165" s="19">
        <f t="shared" si="9"/>
        <v>1</v>
      </c>
    </row>
    <row r="166" spans="2:17" x14ac:dyDescent="0.2">
      <c r="B166" s="149">
        <v>1020536250</v>
      </c>
      <c r="C166" s="149" t="s">
        <v>317</v>
      </c>
      <c r="D166" s="150" t="s">
        <v>54</v>
      </c>
      <c r="E166" s="151">
        <v>12.5</v>
      </c>
      <c r="F166" s="151">
        <v>1</v>
      </c>
      <c r="G166" s="151">
        <v>12.5</v>
      </c>
      <c r="H166" s="151">
        <v>1</v>
      </c>
      <c r="I166" s="151">
        <v>12.5</v>
      </c>
      <c r="J166" s="151">
        <v>0</v>
      </c>
      <c r="K166" s="151">
        <v>0</v>
      </c>
      <c r="L166" s="58">
        <f>IF(K166&gt;=0,K166,0)</f>
        <v>0</v>
      </c>
      <c r="M166" s="58">
        <f>IF(K166&lt;=0,K166,0)</f>
        <v>0</v>
      </c>
      <c r="N166" s="58">
        <f>L166+-M166</f>
        <v>0</v>
      </c>
      <c r="O166" s="19"/>
      <c r="P166" s="19">
        <f t="shared" si="8"/>
        <v>0</v>
      </c>
      <c r="Q166" s="19">
        <f t="shared" si="9"/>
        <v>1</v>
      </c>
    </row>
    <row r="167" spans="2:17" x14ac:dyDescent="0.2">
      <c r="B167" s="149">
        <v>101020352</v>
      </c>
      <c r="C167" s="149" t="s">
        <v>92</v>
      </c>
      <c r="D167" s="150" t="s">
        <v>65</v>
      </c>
      <c r="E167" s="151">
        <v>1.21</v>
      </c>
      <c r="F167" s="151">
        <v>97</v>
      </c>
      <c r="G167" s="151">
        <v>117.37</v>
      </c>
      <c r="H167" s="151">
        <v>97</v>
      </c>
      <c r="I167" s="151">
        <v>117.37</v>
      </c>
      <c r="J167" s="151">
        <v>0</v>
      </c>
      <c r="K167" s="151">
        <v>0</v>
      </c>
      <c r="L167" s="58">
        <f>IF(K167&gt;=0,K167,0)</f>
        <v>0</v>
      </c>
      <c r="M167" s="58">
        <f>IF(K167&lt;=0,K167,0)</f>
        <v>0</v>
      </c>
      <c r="N167" s="58">
        <f>L167+-M167</f>
        <v>0</v>
      </c>
      <c r="O167" s="19"/>
      <c r="P167" s="19">
        <f t="shared" si="8"/>
        <v>0</v>
      </c>
      <c r="Q167" s="19">
        <f t="shared" si="9"/>
        <v>1</v>
      </c>
    </row>
    <row r="168" spans="2:17" x14ac:dyDescent="0.2">
      <c r="B168" s="149">
        <v>10105038745</v>
      </c>
      <c r="C168" s="149" t="s">
        <v>93</v>
      </c>
      <c r="D168" s="150" t="s">
        <v>65</v>
      </c>
      <c r="E168" s="151">
        <v>0.78005599999999997</v>
      </c>
      <c r="F168" s="151">
        <v>440</v>
      </c>
      <c r="G168" s="151">
        <v>343.22464000000002</v>
      </c>
      <c r="H168" s="151">
        <v>440</v>
      </c>
      <c r="I168" s="151">
        <v>343.22464000000002</v>
      </c>
      <c r="J168" s="151">
        <v>0</v>
      </c>
      <c r="K168" s="151">
        <v>0</v>
      </c>
      <c r="L168" s="58">
        <f>IF(K168&gt;=0,K168,0)</f>
        <v>0</v>
      </c>
      <c r="M168" s="58">
        <f>IF(K168&lt;=0,K168,0)</f>
        <v>0</v>
      </c>
      <c r="N168" s="58">
        <f>L168+-M168</f>
        <v>0</v>
      </c>
      <c r="O168" s="19"/>
      <c r="P168" s="19">
        <f t="shared" si="8"/>
        <v>0</v>
      </c>
      <c r="Q168" s="19">
        <f t="shared" si="9"/>
        <v>1</v>
      </c>
    </row>
    <row r="169" spans="2:17" x14ac:dyDescent="0.2">
      <c r="B169" s="149">
        <v>10105038744</v>
      </c>
      <c r="C169" s="149" t="s">
        <v>185</v>
      </c>
      <c r="D169" s="150" t="s">
        <v>65</v>
      </c>
      <c r="E169" s="151">
        <v>0.78</v>
      </c>
      <c r="F169" s="151">
        <v>160</v>
      </c>
      <c r="G169" s="151">
        <v>124.8</v>
      </c>
      <c r="H169" s="151">
        <v>160</v>
      </c>
      <c r="I169" s="151">
        <v>124.8</v>
      </c>
      <c r="J169" s="151">
        <v>0</v>
      </c>
      <c r="K169" s="151">
        <v>0</v>
      </c>
      <c r="L169" s="58">
        <f>IF(K169&gt;=0,K169,0)</f>
        <v>0</v>
      </c>
      <c r="M169" s="58">
        <f>IF(K169&lt;=0,K169,0)</f>
        <v>0</v>
      </c>
      <c r="N169" s="58">
        <f>L169+-M169</f>
        <v>0</v>
      </c>
      <c r="O169" s="19"/>
      <c r="P169" s="19">
        <f t="shared" si="8"/>
        <v>0</v>
      </c>
      <c r="Q169" s="19">
        <f t="shared" si="9"/>
        <v>1</v>
      </c>
    </row>
    <row r="170" spans="2:17" x14ac:dyDescent="0.2">
      <c r="B170" s="149">
        <v>102010044</v>
      </c>
      <c r="C170" s="149" t="s">
        <v>414</v>
      </c>
      <c r="D170" s="150" t="s">
        <v>51</v>
      </c>
      <c r="E170" s="151">
        <v>5.76</v>
      </c>
      <c r="F170" s="151">
        <v>21</v>
      </c>
      <c r="G170" s="151">
        <v>120.96</v>
      </c>
      <c r="H170" s="151">
        <v>21</v>
      </c>
      <c r="I170" s="151">
        <v>120.96</v>
      </c>
      <c r="J170" s="151">
        <v>0</v>
      </c>
      <c r="K170" s="151">
        <v>0</v>
      </c>
      <c r="L170" s="58">
        <f>IF(K170&gt;=0,K170,0)</f>
        <v>0</v>
      </c>
      <c r="M170" s="58">
        <f>IF(K170&lt;=0,K170,0)</f>
        <v>0</v>
      </c>
      <c r="N170" s="58">
        <f>L170+-M170</f>
        <v>0</v>
      </c>
      <c r="O170" s="19"/>
      <c r="P170" s="19">
        <f t="shared" si="8"/>
        <v>0</v>
      </c>
      <c r="Q170" s="19">
        <f t="shared" si="9"/>
        <v>1</v>
      </c>
    </row>
    <row r="171" spans="2:17" x14ac:dyDescent="0.2">
      <c r="B171" s="149">
        <v>10105043372</v>
      </c>
      <c r="C171" s="149" t="s">
        <v>357</v>
      </c>
      <c r="D171" s="150" t="s">
        <v>65</v>
      </c>
      <c r="E171" s="151">
        <v>1.21</v>
      </c>
      <c r="F171" s="151">
        <v>218</v>
      </c>
      <c r="G171" s="151">
        <v>263.77999999999997</v>
      </c>
      <c r="H171" s="151">
        <v>218</v>
      </c>
      <c r="I171" s="151">
        <v>263.77999999999997</v>
      </c>
      <c r="J171" s="151">
        <v>0</v>
      </c>
      <c r="K171" s="151">
        <v>0</v>
      </c>
      <c r="L171" s="58">
        <f>IF(K171&gt;=0,K171,0)</f>
        <v>0</v>
      </c>
      <c r="M171" s="58">
        <f>IF(K171&lt;=0,K171,0)</f>
        <v>0</v>
      </c>
      <c r="N171" s="58">
        <f>L171+-M171</f>
        <v>0</v>
      </c>
      <c r="O171" s="19"/>
      <c r="P171" s="19">
        <f t="shared" si="8"/>
        <v>0</v>
      </c>
      <c r="Q171" s="19">
        <f t="shared" si="9"/>
        <v>1</v>
      </c>
    </row>
    <row r="172" spans="2:17" x14ac:dyDescent="0.2">
      <c r="B172" s="149">
        <v>1020825222</v>
      </c>
      <c r="C172" s="149" t="s">
        <v>448</v>
      </c>
      <c r="D172" s="150" t="s">
        <v>54</v>
      </c>
      <c r="E172" s="151">
        <v>49.53</v>
      </c>
      <c r="F172" s="151">
        <v>1</v>
      </c>
      <c r="G172" s="151">
        <v>49.53</v>
      </c>
      <c r="H172" s="151">
        <v>1</v>
      </c>
      <c r="I172" s="151">
        <v>49.53</v>
      </c>
      <c r="J172" s="151">
        <v>0</v>
      </c>
      <c r="K172" s="151">
        <v>0</v>
      </c>
      <c r="L172" s="58">
        <f>IF(K172&gt;=0,K172,0)</f>
        <v>0</v>
      </c>
      <c r="M172" s="58">
        <f>IF(K172&lt;=0,K172,0)</f>
        <v>0</v>
      </c>
      <c r="N172" s="58">
        <f>L172+-M172</f>
        <v>0</v>
      </c>
      <c r="O172" s="19"/>
      <c r="P172" s="19">
        <f t="shared" si="8"/>
        <v>0</v>
      </c>
      <c r="Q172" s="19">
        <f t="shared" si="9"/>
        <v>1</v>
      </c>
    </row>
    <row r="173" spans="2:17" x14ac:dyDescent="0.2">
      <c r="B173" s="149">
        <v>102080195</v>
      </c>
      <c r="C173" s="149" t="s">
        <v>199</v>
      </c>
      <c r="D173" s="150" t="s">
        <v>54</v>
      </c>
      <c r="E173" s="151">
        <v>3.47356</v>
      </c>
      <c r="F173" s="151">
        <v>22</v>
      </c>
      <c r="G173" s="151">
        <v>76.418319999999994</v>
      </c>
      <c r="H173" s="151">
        <v>22</v>
      </c>
      <c r="I173" s="151">
        <v>76.418319999999994</v>
      </c>
      <c r="J173" s="151">
        <v>0</v>
      </c>
      <c r="K173" s="151">
        <v>0</v>
      </c>
      <c r="L173" s="58">
        <f>IF(K173&gt;=0,K173,0)</f>
        <v>0</v>
      </c>
      <c r="M173" s="58">
        <f>IF(K173&lt;=0,K173,0)</f>
        <v>0</v>
      </c>
      <c r="N173" s="58">
        <f>L173+-M173</f>
        <v>0</v>
      </c>
      <c r="O173" s="19"/>
      <c r="P173" s="19">
        <f t="shared" si="8"/>
        <v>0</v>
      </c>
      <c r="Q173" s="19">
        <f t="shared" si="9"/>
        <v>1</v>
      </c>
    </row>
    <row r="174" spans="2:17" x14ac:dyDescent="0.2">
      <c r="B174" s="149" t="s">
        <v>318</v>
      </c>
      <c r="C174" s="149" t="s">
        <v>319</v>
      </c>
      <c r="D174" s="150" t="s">
        <v>58</v>
      </c>
      <c r="E174" s="151">
        <v>196.92</v>
      </c>
      <c r="F174" s="151">
        <v>3</v>
      </c>
      <c r="G174" s="151">
        <v>590.76</v>
      </c>
      <c r="H174" s="151">
        <v>3</v>
      </c>
      <c r="I174" s="151">
        <v>590.76</v>
      </c>
      <c r="J174" s="151">
        <v>0</v>
      </c>
      <c r="K174" s="151">
        <v>0</v>
      </c>
      <c r="L174" s="58">
        <f>IF(K174&gt;=0,K174,0)</f>
        <v>0</v>
      </c>
      <c r="M174" s="58">
        <f>IF(K174&lt;=0,K174,0)</f>
        <v>0</v>
      </c>
      <c r="N174" s="58">
        <f>L174+-M174</f>
        <v>0</v>
      </c>
      <c r="O174" s="19"/>
      <c r="P174" s="19">
        <f t="shared" si="8"/>
        <v>0</v>
      </c>
      <c r="Q174" s="19">
        <f t="shared" si="9"/>
        <v>1</v>
      </c>
    </row>
    <row r="175" spans="2:17" x14ac:dyDescent="0.2">
      <c r="B175" s="149">
        <v>2040425488</v>
      </c>
      <c r="C175" s="149" t="s">
        <v>94</v>
      </c>
      <c r="D175" s="150" t="s">
        <v>58</v>
      </c>
      <c r="E175" s="151">
        <v>1.75</v>
      </c>
      <c r="F175" s="151">
        <v>100</v>
      </c>
      <c r="G175" s="151">
        <v>175</v>
      </c>
      <c r="H175" s="151">
        <v>100</v>
      </c>
      <c r="I175" s="151">
        <v>175</v>
      </c>
      <c r="J175" s="151">
        <v>0</v>
      </c>
      <c r="K175" s="151">
        <v>0</v>
      </c>
      <c r="L175" s="58">
        <f>IF(K175&gt;=0,K175,0)</f>
        <v>0</v>
      </c>
      <c r="M175" s="58">
        <f>IF(K175&lt;=0,K175,0)</f>
        <v>0</v>
      </c>
      <c r="N175" s="58">
        <f>L175+-M175</f>
        <v>0</v>
      </c>
      <c r="O175" s="19"/>
      <c r="P175" s="19">
        <f t="shared" si="8"/>
        <v>0</v>
      </c>
      <c r="Q175" s="19">
        <f t="shared" si="9"/>
        <v>1</v>
      </c>
    </row>
    <row r="176" spans="2:17" x14ac:dyDescent="0.2">
      <c r="B176" s="149">
        <v>1010830399</v>
      </c>
      <c r="C176" s="149" t="s">
        <v>449</v>
      </c>
      <c r="D176" s="150" t="s">
        <v>54</v>
      </c>
      <c r="E176" s="151">
        <v>54</v>
      </c>
      <c r="F176" s="151">
        <v>8</v>
      </c>
      <c r="G176" s="151">
        <v>432</v>
      </c>
      <c r="H176" s="151">
        <v>8</v>
      </c>
      <c r="I176" s="151">
        <v>432</v>
      </c>
      <c r="J176" s="151">
        <v>0</v>
      </c>
      <c r="K176" s="151">
        <v>0</v>
      </c>
      <c r="L176" s="58">
        <f>IF(K176&gt;=0,K176,0)</f>
        <v>0</v>
      </c>
      <c r="M176" s="58">
        <f>IF(K176&lt;=0,K176,0)</f>
        <v>0</v>
      </c>
      <c r="N176" s="58">
        <f>L176+-M176</f>
        <v>0</v>
      </c>
      <c r="O176" s="19"/>
      <c r="P176" s="19">
        <f t="shared" si="8"/>
        <v>0</v>
      </c>
      <c r="Q176" s="19">
        <f t="shared" si="9"/>
        <v>1</v>
      </c>
    </row>
    <row r="177" spans="2:17" x14ac:dyDescent="0.2">
      <c r="B177" s="149">
        <v>102010055</v>
      </c>
      <c r="C177" s="149" t="s">
        <v>415</v>
      </c>
      <c r="D177" s="150" t="s">
        <v>51</v>
      </c>
      <c r="E177" s="151">
        <v>5.23</v>
      </c>
      <c r="F177" s="151">
        <v>2</v>
      </c>
      <c r="G177" s="151">
        <v>10.46</v>
      </c>
      <c r="H177" s="151">
        <v>2</v>
      </c>
      <c r="I177" s="151">
        <v>10.46</v>
      </c>
      <c r="J177" s="151">
        <v>0</v>
      </c>
      <c r="K177" s="151">
        <v>0</v>
      </c>
      <c r="L177" s="58">
        <f>IF(K177&gt;=0,K177,0)</f>
        <v>0</v>
      </c>
      <c r="M177" s="58">
        <f>IF(K177&lt;=0,K177,0)</f>
        <v>0</v>
      </c>
      <c r="N177" s="58">
        <f>L177+-M177</f>
        <v>0</v>
      </c>
      <c r="O177" s="19"/>
      <c r="P177" s="19">
        <f t="shared" si="8"/>
        <v>0</v>
      </c>
      <c r="Q177" s="19">
        <f t="shared" si="9"/>
        <v>1</v>
      </c>
    </row>
    <row r="178" spans="2:17" x14ac:dyDescent="0.2">
      <c r="B178" s="149">
        <v>5060830567</v>
      </c>
      <c r="C178" s="149" t="s">
        <v>285</v>
      </c>
      <c r="D178" s="150" t="s">
        <v>54</v>
      </c>
      <c r="E178" s="151">
        <v>11.8</v>
      </c>
      <c r="F178" s="151">
        <v>2</v>
      </c>
      <c r="G178" s="151">
        <v>23.6</v>
      </c>
      <c r="H178" s="151">
        <v>2</v>
      </c>
      <c r="I178" s="151">
        <v>23.6</v>
      </c>
      <c r="J178" s="151">
        <v>0</v>
      </c>
      <c r="K178" s="151">
        <v>0</v>
      </c>
      <c r="L178" s="58">
        <f>IF(K178&gt;=0,K178,0)</f>
        <v>0</v>
      </c>
      <c r="M178" s="58">
        <f>IF(K178&lt;=0,K178,0)</f>
        <v>0</v>
      </c>
      <c r="N178" s="58">
        <f>L178+-M178</f>
        <v>0</v>
      </c>
      <c r="O178" s="19"/>
      <c r="P178" s="19">
        <f t="shared" si="8"/>
        <v>0</v>
      </c>
      <c r="Q178" s="19">
        <f t="shared" si="9"/>
        <v>1</v>
      </c>
    </row>
    <row r="179" spans="2:17" x14ac:dyDescent="0.2">
      <c r="B179" s="149">
        <v>102080139</v>
      </c>
      <c r="C179" s="149" t="s">
        <v>416</v>
      </c>
      <c r="D179" s="150" t="s">
        <v>47</v>
      </c>
      <c r="E179" s="151">
        <v>17.09</v>
      </c>
      <c r="F179" s="151">
        <v>17</v>
      </c>
      <c r="G179" s="151">
        <v>290.52999999999997</v>
      </c>
      <c r="H179" s="151">
        <v>17</v>
      </c>
      <c r="I179" s="151">
        <v>290.52999999999997</v>
      </c>
      <c r="J179" s="151">
        <v>0</v>
      </c>
      <c r="K179" s="151">
        <v>0</v>
      </c>
      <c r="L179" s="58">
        <f>IF(K179&gt;=0,K179,0)</f>
        <v>0</v>
      </c>
      <c r="M179" s="58">
        <f>IF(K179&lt;=0,K179,0)</f>
        <v>0</v>
      </c>
      <c r="N179" s="58">
        <f>L179+-M179</f>
        <v>0</v>
      </c>
      <c r="O179" s="19"/>
      <c r="P179" s="19">
        <f t="shared" si="8"/>
        <v>0</v>
      </c>
      <c r="Q179" s="19">
        <f t="shared" si="9"/>
        <v>1</v>
      </c>
    </row>
    <row r="180" spans="2:17" x14ac:dyDescent="0.2">
      <c r="B180" s="149">
        <v>10203039253</v>
      </c>
      <c r="C180" s="149" t="s">
        <v>450</v>
      </c>
      <c r="D180" s="150" t="s">
        <v>65</v>
      </c>
      <c r="E180" s="151">
        <v>1.07</v>
      </c>
      <c r="F180" s="151">
        <v>105</v>
      </c>
      <c r="G180" s="151">
        <v>112.35</v>
      </c>
      <c r="H180" s="151">
        <v>105</v>
      </c>
      <c r="I180" s="151">
        <v>112.35</v>
      </c>
      <c r="J180" s="151">
        <v>0</v>
      </c>
      <c r="K180" s="151">
        <v>0</v>
      </c>
      <c r="L180" s="58">
        <f>IF(K180&gt;=0,K180,0)</f>
        <v>0</v>
      </c>
      <c r="M180" s="58">
        <f>IF(K180&lt;=0,K180,0)</f>
        <v>0</v>
      </c>
      <c r="N180" s="58">
        <f>L180+-M180</f>
        <v>0</v>
      </c>
      <c r="O180" s="19"/>
      <c r="P180" s="19">
        <f t="shared" si="8"/>
        <v>0</v>
      </c>
      <c r="Q180" s="19">
        <f t="shared" si="9"/>
        <v>1</v>
      </c>
    </row>
    <row r="181" spans="2:17" x14ac:dyDescent="0.2">
      <c r="B181" s="149">
        <v>1010423681</v>
      </c>
      <c r="C181" s="149" t="s">
        <v>451</v>
      </c>
      <c r="D181" s="150" t="s">
        <v>65</v>
      </c>
      <c r="E181" s="151">
        <v>0.79</v>
      </c>
      <c r="F181" s="151">
        <v>163</v>
      </c>
      <c r="G181" s="151">
        <v>128.77000000000001</v>
      </c>
      <c r="H181" s="151">
        <v>163</v>
      </c>
      <c r="I181" s="151">
        <v>128.77000000000001</v>
      </c>
      <c r="J181" s="151">
        <v>0</v>
      </c>
      <c r="K181" s="151">
        <v>0</v>
      </c>
      <c r="L181" s="58">
        <f>IF(K181&gt;=0,K181,0)</f>
        <v>0</v>
      </c>
      <c r="M181" s="58">
        <f>IF(K181&lt;=0,K181,0)</f>
        <v>0</v>
      </c>
      <c r="N181" s="58">
        <f>L181+-M181</f>
        <v>0</v>
      </c>
      <c r="O181" s="19"/>
      <c r="P181" s="19">
        <f t="shared" si="8"/>
        <v>0</v>
      </c>
      <c r="Q181" s="19">
        <f t="shared" si="9"/>
        <v>1</v>
      </c>
    </row>
    <row r="182" spans="2:17" x14ac:dyDescent="0.2">
      <c r="B182" s="149">
        <v>101050472</v>
      </c>
      <c r="C182" s="149" t="s">
        <v>452</v>
      </c>
      <c r="D182" s="150" t="s">
        <v>65</v>
      </c>
      <c r="E182" s="151">
        <v>0.79100000000000004</v>
      </c>
      <c r="F182" s="151">
        <v>96</v>
      </c>
      <c r="G182" s="151">
        <v>75.936000000000007</v>
      </c>
      <c r="H182" s="151">
        <v>96</v>
      </c>
      <c r="I182" s="151">
        <v>75.936000000000007</v>
      </c>
      <c r="J182" s="151">
        <v>0</v>
      </c>
      <c r="K182" s="151">
        <v>0</v>
      </c>
      <c r="L182" s="58">
        <f>IF(K182&gt;=0,K182,0)</f>
        <v>0</v>
      </c>
      <c r="M182" s="58">
        <f>IF(K182&lt;=0,K182,0)</f>
        <v>0</v>
      </c>
      <c r="N182" s="58">
        <f>L182+-M182</f>
        <v>0</v>
      </c>
      <c r="O182" s="19"/>
      <c r="P182" s="19">
        <f t="shared" si="8"/>
        <v>0</v>
      </c>
      <c r="Q182" s="19">
        <f t="shared" si="9"/>
        <v>1</v>
      </c>
    </row>
    <row r="183" spans="2:17" x14ac:dyDescent="0.2">
      <c r="B183" s="149">
        <v>101080243</v>
      </c>
      <c r="C183" s="149" t="s">
        <v>453</v>
      </c>
      <c r="D183" s="150" t="s">
        <v>65</v>
      </c>
      <c r="E183" s="151">
        <v>0.79</v>
      </c>
      <c r="F183" s="151">
        <v>48</v>
      </c>
      <c r="G183" s="151">
        <v>37.92</v>
      </c>
      <c r="H183" s="151">
        <v>48</v>
      </c>
      <c r="I183" s="151">
        <v>37.92</v>
      </c>
      <c r="J183" s="151">
        <v>0</v>
      </c>
      <c r="K183" s="151">
        <v>0</v>
      </c>
      <c r="L183" s="58">
        <f>IF(K183&gt;=0,K183,0)</f>
        <v>0</v>
      </c>
      <c r="M183" s="58">
        <f>IF(K183&lt;=0,K183,0)</f>
        <v>0</v>
      </c>
      <c r="N183" s="58">
        <f>L183+-M183</f>
        <v>0</v>
      </c>
      <c r="O183" s="19"/>
      <c r="P183" s="19">
        <f t="shared" si="8"/>
        <v>0</v>
      </c>
      <c r="Q183" s="19">
        <f t="shared" si="9"/>
        <v>1</v>
      </c>
    </row>
    <row r="184" spans="2:17" x14ac:dyDescent="0.2">
      <c r="B184" s="149">
        <v>1020325198</v>
      </c>
      <c r="C184" s="149" t="s">
        <v>187</v>
      </c>
      <c r="D184" s="150" t="s">
        <v>65</v>
      </c>
      <c r="E184" s="151">
        <v>0.56000000000000005</v>
      </c>
      <c r="F184" s="151">
        <v>101</v>
      </c>
      <c r="G184" s="151">
        <v>56.56</v>
      </c>
      <c r="H184" s="151">
        <v>101</v>
      </c>
      <c r="I184" s="151">
        <v>56.56</v>
      </c>
      <c r="J184" s="151">
        <v>0</v>
      </c>
      <c r="K184" s="151">
        <v>0</v>
      </c>
      <c r="L184" s="58">
        <f>IF(K184&gt;=0,K184,0)</f>
        <v>0</v>
      </c>
      <c r="M184" s="58">
        <f>IF(K184&lt;=0,K184,0)</f>
        <v>0</v>
      </c>
      <c r="N184" s="58">
        <f>L184+-M184</f>
        <v>0</v>
      </c>
      <c r="O184" s="19"/>
      <c r="P184" s="19">
        <f t="shared" si="8"/>
        <v>0</v>
      </c>
      <c r="Q184" s="19">
        <f t="shared" si="9"/>
        <v>1</v>
      </c>
    </row>
    <row r="185" spans="2:17" x14ac:dyDescent="0.2">
      <c r="B185" s="149">
        <v>101080395</v>
      </c>
      <c r="C185" s="149" t="s">
        <v>455</v>
      </c>
      <c r="D185" s="150" t="s">
        <v>65</v>
      </c>
      <c r="E185" s="151">
        <v>0.79</v>
      </c>
      <c r="F185" s="151">
        <v>46</v>
      </c>
      <c r="G185" s="151">
        <v>36.340000000000003</v>
      </c>
      <c r="H185" s="151">
        <v>46</v>
      </c>
      <c r="I185" s="151">
        <v>36.340000000000003</v>
      </c>
      <c r="J185" s="151">
        <v>0</v>
      </c>
      <c r="K185" s="151">
        <v>0</v>
      </c>
      <c r="L185" s="58">
        <f>IF(K185&gt;=0,K185,0)</f>
        <v>0</v>
      </c>
      <c r="M185" s="58">
        <f>IF(K185&lt;=0,K185,0)</f>
        <v>0</v>
      </c>
      <c r="N185" s="58">
        <f>L185+-M185</f>
        <v>0</v>
      </c>
      <c r="O185" s="19"/>
      <c r="P185" s="19">
        <f t="shared" si="8"/>
        <v>0</v>
      </c>
      <c r="Q185" s="19">
        <f t="shared" si="9"/>
        <v>1</v>
      </c>
    </row>
    <row r="186" spans="2:17" x14ac:dyDescent="0.2">
      <c r="B186" s="149">
        <v>101080396</v>
      </c>
      <c r="C186" s="149" t="s">
        <v>456</v>
      </c>
      <c r="D186" s="150" t="s">
        <v>65</v>
      </c>
      <c r="E186" s="151">
        <v>0.79</v>
      </c>
      <c r="F186" s="151">
        <v>60</v>
      </c>
      <c r="G186" s="151">
        <v>47.4</v>
      </c>
      <c r="H186" s="151">
        <v>60</v>
      </c>
      <c r="I186" s="151">
        <v>47.4</v>
      </c>
      <c r="J186" s="151">
        <v>0</v>
      </c>
      <c r="K186" s="151">
        <v>0</v>
      </c>
      <c r="L186" s="58">
        <f>IF(K186&gt;=0,K186,0)</f>
        <v>0</v>
      </c>
      <c r="M186" s="58">
        <f>IF(K186&lt;=0,K186,0)</f>
        <v>0</v>
      </c>
      <c r="N186" s="58">
        <f>L186+-M186</f>
        <v>0</v>
      </c>
      <c r="O186" s="19"/>
      <c r="P186" s="19">
        <f t="shared" si="8"/>
        <v>0</v>
      </c>
      <c r="Q186" s="19">
        <f t="shared" si="9"/>
        <v>1</v>
      </c>
    </row>
    <row r="187" spans="2:17" x14ac:dyDescent="0.2">
      <c r="B187" s="149">
        <v>1020330475</v>
      </c>
      <c r="C187" s="149" t="s">
        <v>417</v>
      </c>
      <c r="D187" s="150" t="s">
        <v>65</v>
      </c>
      <c r="E187" s="151">
        <v>1.2455149999999999</v>
      </c>
      <c r="F187" s="151">
        <v>350</v>
      </c>
      <c r="G187" s="151">
        <v>435.93025</v>
      </c>
      <c r="H187" s="151">
        <v>350</v>
      </c>
      <c r="I187" s="151">
        <v>435.93025</v>
      </c>
      <c r="J187" s="151">
        <v>0</v>
      </c>
      <c r="K187" s="151">
        <v>0</v>
      </c>
      <c r="L187" s="58">
        <f>IF(K187&gt;=0,K187,0)</f>
        <v>0</v>
      </c>
      <c r="M187" s="58">
        <f>IF(K187&lt;=0,K187,0)</f>
        <v>0</v>
      </c>
      <c r="N187" s="58">
        <f>L187+-M187</f>
        <v>0</v>
      </c>
      <c r="O187" s="19"/>
      <c r="P187" s="19">
        <f t="shared" si="8"/>
        <v>0</v>
      </c>
      <c r="Q187" s="19">
        <f t="shared" si="9"/>
        <v>1</v>
      </c>
    </row>
    <row r="188" spans="2:17" x14ac:dyDescent="0.2">
      <c r="B188" s="149">
        <v>10203038304</v>
      </c>
      <c r="C188" s="149" t="s">
        <v>406</v>
      </c>
      <c r="D188" s="150" t="s">
        <v>58</v>
      </c>
      <c r="E188" s="151">
        <v>0.54</v>
      </c>
      <c r="F188" s="152">
        <v>2895</v>
      </c>
      <c r="G188" s="152">
        <v>1563.3</v>
      </c>
      <c r="H188" s="152">
        <v>2895</v>
      </c>
      <c r="I188" s="152">
        <v>1563.3</v>
      </c>
      <c r="J188" s="151">
        <v>0</v>
      </c>
      <c r="K188" s="151">
        <v>0</v>
      </c>
      <c r="L188" s="58">
        <f>IF(K188&gt;=0,K188,0)</f>
        <v>0</v>
      </c>
      <c r="M188" s="58">
        <f>IF(K188&lt;=0,K188,0)</f>
        <v>0</v>
      </c>
      <c r="N188" s="58">
        <f>L188+-M188</f>
        <v>0</v>
      </c>
      <c r="O188" s="19"/>
      <c r="P188" s="19">
        <f t="shared" si="8"/>
        <v>0</v>
      </c>
      <c r="Q188" s="19">
        <f t="shared" si="9"/>
        <v>1</v>
      </c>
    </row>
    <row r="189" spans="2:17" x14ac:dyDescent="0.2">
      <c r="B189" s="149">
        <v>103020010</v>
      </c>
      <c r="C189" s="149" t="s">
        <v>358</v>
      </c>
      <c r="D189" s="150" t="s">
        <v>51</v>
      </c>
      <c r="E189" s="151">
        <v>6.4880000000000004</v>
      </c>
      <c r="F189" s="151">
        <v>180.1</v>
      </c>
      <c r="G189" s="152">
        <v>1168.4888000000001</v>
      </c>
      <c r="H189" s="151">
        <v>180.1</v>
      </c>
      <c r="I189" s="152">
        <v>1168.4888000000001</v>
      </c>
      <c r="J189" s="151">
        <v>0</v>
      </c>
      <c r="K189" s="151">
        <v>0</v>
      </c>
      <c r="L189" s="58">
        <f>IF(K189&gt;=0,K189,0)</f>
        <v>0</v>
      </c>
      <c r="M189" s="58">
        <f>IF(K189&lt;=0,K189,0)</f>
        <v>0</v>
      </c>
      <c r="N189" s="58">
        <f>L189+-M189</f>
        <v>0</v>
      </c>
      <c r="O189" s="19"/>
      <c r="P189" s="19">
        <f t="shared" si="8"/>
        <v>0</v>
      </c>
      <c r="Q189" s="19">
        <f t="shared" si="9"/>
        <v>1</v>
      </c>
    </row>
    <row r="190" spans="2:17" x14ac:dyDescent="0.2">
      <c r="B190" s="149">
        <v>2010082</v>
      </c>
      <c r="C190" s="149" t="s">
        <v>386</v>
      </c>
      <c r="D190" s="150" t="s">
        <v>47</v>
      </c>
      <c r="E190" s="151">
        <v>7.79</v>
      </c>
      <c r="F190" s="151">
        <v>7</v>
      </c>
      <c r="G190" s="151">
        <v>54.53</v>
      </c>
      <c r="H190" s="151">
        <v>7</v>
      </c>
      <c r="I190" s="151">
        <v>54.53</v>
      </c>
      <c r="J190" s="151">
        <v>0</v>
      </c>
      <c r="K190" s="151">
        <v>0</v>
      </c>
      <c r="L190" s="58">
        <f>IF(K190&gt;=0,K190,0)</f>
        <v>0</v>
      </c>
      <c r="M190" s="58">
        <f>IF(K190&lt;=0,K190,0)</f>
        <v>0</v>
      </c>
      <c r="N190" s="58">
        <f>L190+-M190</f>
        <v>0</v>
      </c>
      <c r="O190" s="19"/>
      <c r="P190" s="19">
        <f t="shared" si="8"/>
        <v>0</v>
      </c>
      <c r="Q190" s="19">
        <f t="shared" si="9"/>
        <v>1</v>
      </c>
    </row>
    <row r="191" spans="2:17" x14ac:dyDescent="0.2">
      <c r="B191" s="149">
        <v>2010062</v>
      </c>
      <c r="C191" s="149" t="s">
        <v>387</v>
      </c>
      <c r="D191" s="150" t="s">
        <v>47</v>
      </c>
      <c r="E191" s="151">
        <v>7.79</v>
      </c>
      <c r="F191" s="151">
        <v>11</v>
      </c>
      <c r="G191" s="151">
        <v>85.69</v>
      </c>
      <c r="H191" s="151">
        <v>11</v>
      </c>
      <c r="I191" s="151">
        <v>85.69</v>
      </c>
      <c r="J191" s="151">
        <v>0</v>
      </c>
      <c r="K191" s="151">
        <v>0</v>
      </c>
      <c r="L191" s="58">
        <f>IF(K191&gt;=0,K191,0)</f>
        <v>0</v>
      </c>
      <c r="M191" s="58">
        <f>IF(K191&lt;=0,K191,0)</f>
        <v>0</v>
      </c>
      <c r="N191" s="58">
        <f>L191+-M191</f>
        <v>0</v>
      </c>
      <c r="O191" s="19"/>
      <c r="P191" s="19">
        <f t="shared" si="8"/>
        <v>0</v>
      </c>
      <c r="Q191" s="19">
        <f t="shared" si="9"/>
        <v>1</v>
      </c>
    </row>
    <row r="192" spans="2:17" x14ac:dyDescent="0.2">
      <c r="B192" s="149">
        <v>30203041067</v>
      </c>
      <c r="C192" s="149" t="s">
        <v>359</v>
      </c>
      <c r="D192" s="150" t="s">
        <v>47</v>
      </c>
      <c r="E192" s="151">
        <v>1.55</v>
      </c>
      <c r="F192" s="151">
        <v>463</v>
      </c>
      <c r="G192" s="151">
        <v>717.65</v>
      </c>
      <c r="H192" s="151">
        <v>463</v>
      </c>
      <c r="I192" s="151">
        <v>717.65</v>
      </c>
      <c r="J192" s="151">
        <v>0</v>
      </c>
      <c r="K192" s="151">
        <v>0</v>
      </c>
      <c r="L192" s="58">
        <f>IF(K192&gt;=0,K192,0)</f>
        <v>0</v>
      </c>
      <c r="M192" s="58">
        <f>IF(K192&lt;=0,K192,0)</f>
        <v>0</v>
      </c>
      <c r="N192" s="58">
        <f>L192+-M192</f>
        <v>0</v>
      </c>
      <c r="O192" s="19"/>
      <c r="P192" s="19">
        <f t="shared" si="8"/>
        <v>0</v>
      </c>
      <c r="Q192" s="19">
        <f t="shared" si="9"/>
        <v>1</v>
      </c>
    </row>
    <row r="193" spans="2:17" x14ac:dyDescent="0.2">
      <c r="B193" s="149">
        <v>30203041207</v>
      </c>
      <c r="C193" s="149" t="s">
        <v>201</v>
      </c>
      <c r="D193" s="150" t="s">
        <v>47</v>
      </c>
      <c r="E193" s="151">
        <v>1.55</v>
      </c>
      <c r="F193" s="151">
        <v>535</v>
      </c>
      <c r="G193" s="151">
        <v>829.25</v>
      </c>
      <c r="H193" s="151">
        <v>535</v>
      </c>
      <c r="I193" s="151">
        <v>829.25</v>
      </c>
      <c r="J193" s="151">
        <v>0</v>
      </c>
      <c r="K193" s="151">
        <v>0</v>
      </c>
      <c r="L193" s="58">
        <f>IF(K193&gt;=0,K193,0)</f>
        <v>0</v>
      </c>
      <c r="M193" s="58">
        <f>IF(K193&lt;=0,K193,0)</f>
        <v>0</v>
      </c>
      <c r="N193" s="58">
        <f>L193+-M193</f>
        <v>0</v>
      </c>
      <c r="O193" s="19"/>
      <c r="P193" s="19">
        <f t="shared" si="8"/>
        <v>0</v>
      </c>
      <c r="Q193" s="19">
        <f t="shared" si="9"/>
        <v>1</v>
      </c>
    </row>
    <row r="194" spans="2:17" x14ac:dyDescent="0.2">
      <c r="B194" s="149">
        <v>10208043131</v>
      </c>
      <c r="C194" s="149" t="s">
        <v>360</v>
      </c>
      <c r="D194" s="150" t="s">
        <v>54</v>
      </c>
      <c r="E194" s="151">
        <v>20.78</v>
      </c>
      <c r="F194" s="151">
        <v>12</v>
      </c>
      <c r="G194" s="151">
        <v>249.36</v>
      </c>
      <c r="H194" s="151">
        <v>12</v>
      </c>
      <c r="I194" s="151">
        <v>249.36</v>
      </c>
      <c r="J194" s="151">
        <v>0</v>
      </c>
      <c r="K194" s="151">
        <v>0</v>
      </c>
      <c r="L194" s="58">
        <f>IF(K194&gt;=0,K194,0)</f>
        <v>0</v>
      </c>
      <c r="M194" s="58">
        <f>IF(K194&lt;=0,K194,0)</f>
        <v>0</v>
      </c>
      <c r="N194" s="58">
        <f>L194+-M194</f>
        <v>0</v>
      </c>
      <c r="O194" s="19"/>
      <c r="P194" s="19">
        <f t="shared" si="8"/>
        <v>0</v>
      </c>
      <c r="Q194" s="19">
        <f t="shared" si="9"/>
        <v>1</v>
      </c>
    </row>
    <row r="195" spans="2:17" x14ac:dyDescent="0.2">
      <c r="B195" s="149">
        <v>10208043258</v>
      </c>
      <c r="C195" s="149" t="s">
        <v>322</v>
      </c>
      <c r="D195" s="150" t="s">
        <v>54</v>
      </c>
      <c r="E195" s="151">
        <v>20.78</v>
      </c>
      <c r="F195" s="151">
        <v>27</v>
      </c>
      <c r="G195" s="151">
        <v>561.05999999999995</v>
      </c>
      <c r="H195" s="151">
        <v>27</v>
      </c>
      <c r="I195" s="151">
        <v>561.05999999999995</v>
      </c>
      <c r="J195" s="151">
        <v>0</v>
      </c>
      <c r="K195" s="151">
        <v>0</v>
      </c>
      <c r="L195" s="58">
        <f>IF(K195&gt;=0,K195,0)</f>
        <v>0</v>
      </c>
      <c r="M195" s="58">
        <f>IF(K195&lt;=0,K195,0)</f>
        <v>0</v>
      </c>
      <c r="N195" s="58">
        <f>L195+-M195</f>
        <v>0</v>
      </c>
      <c r="O195" s="19"/>
      <c r="P195" s="19">
        <f t="shared" si="8"/>
        <v>0</v>
      </c>
      <c r="Q195" s="19">
        <f t="shared" si="9"/>
        <v>1</v>
      </c>
    </row>
    <row r="196" spans="2:17" x14ac:dyDescent="0.2">
      <c r="B196" s="149">
        <v>101060516</v>
      </c>
      <c r="C196" s="149" t="s">
        <v>457</v>
      </c>
      <c r="D196" s="150" t="s">
        <v>54</v>
      </c>
      <c r="E196" s="151">
        <v>8.82</v>
      </c>
      <c r="F196" s="151">
        <v>1</v>
      </c>
      <c r="G196" s="151">
        <v>8.82</v>
      </c>
      <c r="H196" s="151">
        <v>1</v>
      </c>
      <c r="I196" s="151">
        <v>8.82</v>
      </c>
      <c r="J196" s="151">
        <v>0</v>
      </c>
      <c r="K196" s="151">
        <v>0</v>
      </c>
      <c r="L196" s="58">
        <f>IF(K196&gt;=0,K196,0)</f>
        <v>0</v>
      </c>
      <c r="M196" s="58">
        <f>IF(K196&lt;=0,K196,0)</f>
        <v>0</v>
      </c>
      <c r="N196" s="58">
        <f>L196+-M196</f>
        <v>0</v>
      </c>
      <c r="O196" s="19"/>
      <c r="P196" s="19">
        <f t="shared" si="8"/>
        <v>0</v>
      </c>
      <c r="Q196" s="19">
        <f t="shared" si="9"/>
        <v>1</v>
      </c>
    </row>
    <row r="197" spans="2:17" x14ac:dyDescent="0.2">
      <c r="B197" s="149">
        <v>102020034</v>
      </c>
      <c r="C197" s="149" t="s">
        <v>95</v>
      </c>
      <c r="D197" s="150" t="s">
        <v>51</v>
      </c>
      <c r="E197" s="151">
        <v>7.5</v>
      </c>
      <c r="F197" s="151">
        <v>80</v>
      </c>
      <c r="G197" s="151">
        <v>600</v>
      </c>
      <c r="H197" s="151">
        <v>80</v>
      </c>
      <c r="I197" s="151">
        <v>600</v>
      </c>
      <c r="J197" s="151">
        <v>0</v>
      </c>
      <c r="K197" s="151">
        <v>0</v>
      </c>
      <c r="L197" s="58">
        <f>IF(K197&gt;=0,K197,0)</f>
        <v>0</v>
      </c>
      <c r="M197" s="58">
        <f>IF(K197&lt;=0,K197,0)</f>
        <v>0</v>
      </c>
      <c r="N197" s="58">
        <f>L197+-M197</f>
        <v>0</v>
      </c>
      <c r="O197" s="19"/>
      <c r="P197" s="19">
        <f t="shared" si="8"/>
        <v>0</v>
      </c>
      <c r="Q197" s="19">
        <f t="shared" si="9"/>
        <v>1</v>
      </c>
    </row>
    <row r="198" spans="2:17" x14ac:dyDescent="0.2">
      <c r="B198" s="149" t="s">
        <v>323</v>
      </c>
      <c r="C198" s="149" t="s">
        <v>324</v>
      </c>
      <c r="D198" s="150" t="s">
        <v>65</v>
      </c>
      <c r="E198" s="151">
        <v>11.29</v>
      </c>
      <c r="F198" s="151">
        <v>95</v>
      </c>
      <c r="G198" s="152">
        <v>1072.55</v>
      </c>
      <c r="H198" s="151">
        <v>95</v>
      </c>
      <c r="I198" s="152">
        <v>1072.55</v>
      </c>
      <c r="J198" s="151">
        <v>0</v>
      </c>
      <c r="K198" s="151">
        <v>0</v>
      </c>
      <c r="L198" s="58">
        <f>IF(K198&gt;=0,K198,0)</f>
        <v>0</v>
      </c>
      <c r="M198" s="58">
        <f>IF(K198&lt;=0,K198,0)</f>
        <v>0</v>
      </c>
      <c r="N198" s="58">
        <f>L198+-M198</f>
        <v>0</v>
      </c>
      <c r="O198" s="19"/>
      <c r="P198" s="19">
        <f t="shared" si="8"/>
        <v>0</v>
      </c>
      <c r="Q198" s="19">
        <f t="shared" si="9"/>
        <v>1</v>
      </c>
    </row>
    <row r="199" spans="2:17" x14ac:dyDescent="0.2">
      <c r="B199" s="149" t="s">
        <v>325</v>
      </c>
      <c r="C199" s="149" t="s">
        <v>326</v>
      </c>
      <c r="D199" s="150" t="s">
        <v>65</v>
      </c>
      <c r="E199" s="151">
        <v>11.29</v>
      </c>
      <c r="F199" s="151">
        <v>68</v>
      </c>
      <c r="G199" s="151">
        <v>767.72</v>
      </c>
      <c r="H199" s="151">
        <v>68</v>
      </c>
      <c r="I199" s="151">
        <v>767.72</v>
      </c>
      <c r="J199" s="151">
        <v>0</v>
      </c>
      <c r="K199" s="151">
        <v>0</v>
      </c>
      <c r="L199" s="58">
        <f>IF(K199&gt;=0,K199,0)</f>
        <v>0</v>
      </c>
      <c r="M199" s="58">
        <f>IF(K199&lt;=0,K199,0)</f>
        <v>0</v>
      </c>
      <c r="N199" s="58">
        <f>L199+-M199</f>
        <v>0</v>
      </c>
      <c r="O199" s="19"/>
      <c r="P199" s="19">
        <f t="shared" ref="P199:P262" si="10">N199/$N$1055</f>
        <v>0</v>
      </c>
      <c r="Q199" s="19">
        <f t="shared" ref="Q199:Q250" si="11">P199+Q198</f>
        <v>1</v>
      </c>
    </row>
    <row r="200" spans="2:17" x14ac:dyDescent="0.2">
      <c r="B200" s="149">
        <v>60402038024</v>
      </c>
      <c r="C200" s="149" t="s">
        <v>96</v>
      </c>
      <c r="D200" s="150" t="s">
        <v>87</v>
      </c>
      <c r="E200" s="151">
        <v>3.6</v>
      </c>
      <c r="F200" s="151">
        <v>60</v>
      </c>
      <c r="G200" s="151">
        <v>216</v>
      </c>
      <c r="H200" s="151">
        <v>60</v>
      </c>
      <c r="I200" s="151">
        <v>216</v>
      </c>
      <c r="J200" s="151">
        <v>0</v>
      </c>
      <c r="K200" s="151">
        <v>0</v>
      </c>
      <c r="L200" s="58">
        <f>IF(K200&gt;=0,K200,0)</f>
        <v>0</v>
      </c>
      <c r="M200" s="58">
        <f>IF(K200&lt;=0,K200,0)</f>
        <v>0</v>
      </c>
      <c r="N200" s="58">
        <f>L200+-M200</f>
        <v>0</v>
      </c>
      <c r="O200" s="19"/>
      <c r="P200" s="19">
        <f t="shared" si="10"/>
        <v>0</v>
      </c>
      <c r="Q200" s="19">
        <f t="shared" si="11"/>
        <v>1</v>
      </c>
    </row>
    <row r="201" spans="2:17" x14ac:dyDescent="0.2">
      <c r="B201" s="149">
        <v>60402037911</v>
      </c>
      <c r="C201" s="149" t="s">
        <v>97</v>
      </c>
      <c r="D201" s="150" t="s">
        <v>87</v>
      </c>
      <c r="E201" s="151">
        <v>3.6</v>
      </c>
      <c r="F201" s="151">
        <v>34</v>
      </c>
      <c r="G201" s="151">
        <v>122.4</v>
      </c>
      <c r="H201" s="151">
        <v>34</v>
      </c>
      <c r="I201" s="151">
        <v>122.4</v>
      </c>
      <c r="J201" s="151">
        <v>0</v>
      </c>
      <c r="K201" s="151">
        <v>0</v>
      </c>
      <c r="L201" s="58">
        <f>IF(K201&gt;=0,K201,0)</f>
        <v>0</v>
      </c>
      <c r="M201" s="58">
        <f>IF(K201&lt;=0,K201,0)</f>
        <v>0</v>
      </c>
      <c r="N201" s="58">
        <f>L201+-M201</f>
        <v>0</v>
      </c>
      <c r="O201" s="19"/>
      <c r="P201" s="19">
        <f t="shared" si="10"/>
        <v>0</v>
      </c>
      <c r="Q201" s="19">
        <f t="shared" si="11"/>
        <v>1</v>
      </c>
    </row>
    <row r="202" spans="2:17" x14ac:dyDescent="0.2">
      <c r="B202" s="149">
        <v>1020825192</v>
      </c>
      <c r="C202" s="149" t="s">
        <v>98</v>
      </c>
      <c r="D202" s="150" t="s">
        <v>54</v>
      </c>
      <c r="E202" s="151">
        <v>8.24</v>
      </c>
      <c r="F202" s="151">
        <v>2</v>
      </c>
      <c r="G202" s="151">
        <v>16.48</v>
      </c>
      <c r="H202" s="151">
        <v>2</v>
      </c>
      <c r="I202" s="151">
        <v>16.48</v>
      </c>
      <c r="J202" s="151">
        <v>0</v>
      </c>
      <c r="K202" s="151">
        <v>0</v>
      </c>
      <c r="L202" s="58">
        <f>IF(K202&gt;=0,K202,0)</f>
        <v>0</v>
      </c>
      <c r="M202" s="58">
        <f>IF(K202&lt;=0,K202,0)</f>
        <v>0</v>
      </c>
      <c r="N202" s="58">
        <f>L202+-M202</f>
        <v>0</v>
      </c>
      <c r="O202" s="19"/>
      <c r="P202" s="19">
        <f t="shared" si="10"/>
        <v>0</v>
      </c>
      <c r="Q202" s="19">
        <f t="shared" si="11"/>
        <v>1</v>
      </c>
    </row>
    <row r="203" spans="2:17" x14ac:dyDescent="0.2">
      <c r="B203" s="149">
        <v>103010025</v>
      </c>
      <c r="C203" s="149" t="s">
        <v>181</v>
      </c>
      <c r="D203" s="150" t="s">
        <v>51</v>
      </c>
      <c r="E203" s="151">
        <v>23.002673999999999</v>
      </c>
      <c r="F203" s="151">
        <v>125</v>
      </c>
      <c r="G203" s="152">
        <v>2875.3342499999999</v>
      </c>
      <c r="H203" s="151">
        <v>125</v>
      </c>
      <c r="I203" s="152">
        <v>2875.3342499999999</v>
      </c>
      <c r="J203" s="151">
        <v>0</v>
      </c>
      <c r="K203" s="151">
        <v>0</v>
      </c>
      <c r="L203" s="58">
        <f>IF(K203&gt;=0,K203,0)</f>
        <v>0</v>
      </c>
      <c r="M203" s="58">
        <f>IF(K203&lt;=0,K203,0)</f>
        <v>0</v>
      </c>
      <c r="N203" s="58">
        <f>L203+-M203</f>
        <v>0</v>
      </c>
      <c r="O203" s="19"/>
      <c r="P203" s="19">
        <f t="shared" si="10"/>
        <v>0</v>
      </c>
      <c r="Q203" s="19">
        <f t="shared" si="11"/>
        <v>1</v>
      </c>
    </row>
    <row r="204" spans="2:17" x14ac:dyDescent="0.2">
      <c r="B204" s="149">
        <v>1010625190</v>
      </c>
      <c r="C204" s="149" t="s">
        <v>327</v>
      </c>
      <c r="D204" s="150" t="s">
        <v>54</v>
      </c>
      <c r="E204" s="151">
        <v>60.555151000000002</v>
      </c>
      <c r="F204" s="151">
        <v>2</v>
      </c>
      <c r="G204" s="151">
        <v>121.110302</v>
      </c>
      <c r="H204" s="151">
        <v>2</v>
      </c>
      <c r="I204" s="151">
        <v>121.110302</v>
      </c>
      <c r="J204" s="151">
        <v>0</v>
      </c>
      <c r="K204" s="151">
        <v>0</v>
      </c>
      <c r="L204" s="58">
        <f>IF(K204&gt;=0,K204,0)</f>
        <v>0</v>
      </c>
      <c r="M204" s="58">
        <f>IF(K204&lt;=0,K204,0)</f>
        <v>0</v>
      </c>
      <c r="N204" s="58">
        <f>L204+-M204</f>
        <v>0</v>
      </c>
      <c r="O204" s="19"/>
      <c r="P204" s="19">
        <f t="shared" si="10"/>
        <v>0</v>
      </c>
      <c r="Q204" s="19">
        <f t="shared" si="11"/>
        <v>1</v>
      </c>
    </row>
    <row r="205" spans="2:17" x14ac:dyDescent="0.2">
      <c r="B205" s="149">
        <v>1010623177</v>
      </c>
      <c r="C205" s="149" t="s">
        <v>458</v>
      </c>
      <c r="D205" s="150" t="s">
        <v>54</v>
      </c>
      <c r="E205" s="151">
        <v>83.33</v>
      </c>
      <c r="F205" s="151">
        <v>6</v>
      </c>
      <c r="G205" s="151">
        <v>499.98</v>
      </c>
      <c r="H205" s="151">
        <v>6</v>
      </c>
      <c r="I205" s="151">
        <v>499.98</v>
      </c>
      <c r="J205" s="151">
        <v>0</v>
      </c>
      <c r="K205" s="151">
        <v>0</v>
      </c>
      <c r="L205" s="58">
        <f>IF(K205&gt;=0,K205,0)</f>
        <v>0</v>
      </c>
      <c r="M205" s="58">
        <f>IF(K205&lt;=0,K205,0)</f>
        <v>0</v>
      </c>
      <c r="N205" s="58">
        <f>L205+-M205</f>
        <v>0</v>
      </c>
      <c r="O205" s="19"/>
      <c r="P205" s="19">
        <f t="shared" si="10"/>
        <v>0</v>
      </c>
      <c r="Q205" s="19">
        <f t="shared" si="11"/>
        <v>1</v>
      </c>
    </row>
    <row r="206" spans="2:17" x14ac:dyDescent="0.2">
      <c r="B206" s="149">
        <v>1010625147</v>
      </c>
      <c r="C206" s="149" t="s">
        <v>100</v>
      </c>
      <c r="D206" s="150" t="s">
        <v>54</v>
      </c>
      <c r="E206" s="151">
        <v>83.8</v>
      </c>
      <c r="F206" s="151">
        <v>16</v>
      </c>
      <c r="G206" s="152">
        <v>1340.8</v>
      </c>
      <c r="H206" s="151">
        <v>16</v>
      </c>
      <c r="I206" s="152">
        <v>1340.8</v>
      </c>
      <c r="J206" s="151">
        <v>0</v>
      </c>
      <c r="K206" s="151">
        <v>0</v>
      </c>
      <c r="L206" s="58">
        <f>IF(K206&gt;=0,K206,0)</f>
        <v>0</v>
      </c>
      <c r="M206" s="58">
        <f>IF(K206&lt;=0,K206,0)</f>
        <v>0</v>
      </c>
      <c r="N206" s="58">
        <f>L206+-M206</f>
        <v>0</v>
      </c>
      <c r="O206" s="19"/>
      <c r="P206" s="19">
        <f t="shared" si="10"/>
        <v>0</v>
      </c>
      <c r="Q206" s="19">
        <f t="shared" si="11"/>
        <v>1</v>
      </c>
    </row>
    <row r="207" spans="2:17" x14ac:dyDescent="0.2">
      <c r="B207" s="149">
        <v>1010624758</v>
      </c>
      <c r="C207" s="149" t="s">
        <v>459</v>
      </c>
      <c r="D207" s="150" t="s">
        <v>54</v>
      </c>
      <c r="E207" s="151">
        <v>92.201999999999998</v>
      </c>
      <c r="F207" s="151">
        <v>1</v>
      </c>
      <c r="G207" s="151">
        <v>92.201999999999998</v>
      </c>
      <c r="H207" s="151">
        <v>1</v>
      </c>
      <c r="I207" s="151">
        <v>92.201999999999998</v>
      </c>
      <c r="J207" s="151">
        <v>0</v>
      </c>
      <c r="K207" s="151">
        <v>0</v>
      </c>
      <c r="L207" s="58">
        <f>IF(K207&gt;=0,K207,0)</f>
        <v>0</v>
      </c>
      <c r="M207" s="58">
        <f>IF(K207&lt;=0,K207,0)</f>
        <v>0</v>
      </c>
      <c r="N207" s="58">
        <f>L207+-M207</f>
        <v>0</v>
      </c>
      <c r="O207" s="19"/>
      <c r="P207" s="19">
        <f t="shared" si="10"/>
        <v>0</v>
      </c>
      <c r="Q207" s="19">
        <f t="shared" si="11"/>
        <v>1</v>
      </c>
    </row>
    <row r="208" spans="2:17" x14ac:dyDescent="0.2">
      <c r="B208" s="149">
        <v>1010625051</v>
      </c>
      <c r="C208" s="149" t="s">
        <v>101</v>
      </c>
      <c r="D208" s="150" t="s">
        <v>54</v>
      </c>
      <c r="E208" s="151">
        <v>44.89</v>
      </c>
      <c r="F208" s="151">
        <v>11</v>
      </c>
      <c r="G208" s="151">
        <v>493.79</v>
      </c>
      <c r="H208" s="151">
        <v>11</v>
      </c>
      <c r="I208" s="151">
        <v>493.79</v>
      </c>
      <c r="J208" s="151">
        <v>0</v>
      </c>
      <c r="K208" s="151">
        <v>0</v>
      </c>
      <c r="L208" s="58">
        <f>IF(K208&gt;=0,K208,0)</f>
        <v>0</v>
      </c>
      <c r="M208" s="58">
        <f>IF(K208&lt;=0,K208,0)</f>
        <v>0</v>
      </c>
      <c r="N208" s="58">
        <f>L208+-M208</f>
        <v>0</v>
      </c>
      <c r="O208" s="19"/>
      <c r="P208" s="19">
        <f t="shared" si="10"/>
        <v>0</v>
      </c>
      <c r="Q208" s="19">
        <f t="shared" si="11"/>
        <v>1</v>
      </c>
    </row>
    <row r="209" spans="2:17" x14ac:dyDescent="0.2">
      <c r="B209" s="149">
        <v>10106037527</v>
      </c>
      <c r="C209" s="149" t="s">
        <v>102</v>
      </c>
      <c r="D209" s="150" t="s">
        <v>56</v>
      </c>
      <c r="E209" s="151">
        <v>136.78</v>
      </c>
      <c r="F209" s="151">
        <v>21</v>
      </c>
      <c r="G209" s="152">
        <v>2872.38</v>
      </c>
      <c r="H209" s="151">
        <v>21</v>
      </c>
      <c r="I209" s="152">
        <v>2872.38</v>
      </c>
      <c r="J209" s="151">
        <v>0</v>
      </c>
      <c r="K209" s="151">
        <v>0</v>
      </c>
      <c r="L209" s="58">
        <f>IF(K209&gt;=0,K209,0)</f>
        <v>0</v>
      </c>
      <c r="M209" s="58">
        <f>IF(K209&lt;=0,K209,0)</f>
        <v>0</v>
      </c>
      <c r="N209" s="58">
        <f>L209+-M209</f>
        <v>0</v>
      </c>
      <c r="O209" s="19"/>
      <c r="P209" s="19">
        <f t="shared" si="10"/>
        <v>0</v>
      </c>
      <c r="Q209" s="19">
        <f t="shared" si="11"/>
        <v>1</v>
      </c>
    </row>
    <row r="210" spans="2:17" x14ac:dyDescent="0.2">
      <c r="B210" s="149">
        <v>4040234891</v>
      </c>
      <c r="C210" s="149" t="s">
        <v>361</v>
      </c>
      <c r="D210" s="150" t="s">
        <v>58</v>
      </c>
      <c r="E210" s="151">
        <v>0.96</v>
      </c>
      <c r="F210" s="151">
        <v>170</v>
      </c>
      <c r="G210" s="151">
        <v>163.19999999999999</v>
      </c>
      <c r="H210" s="151">
        <v>170</v>
      </c>
      <c r="I210" s="151">
        <v>163.19999999999999</v>
      </c>
      <c r="J210" s="151">
        <v>0</v>
      </c>
      <c r="K210" s="151">
        <v>0</v>
      </c>
      <c r="L210" s="58">
        <f>IF(K210&gt;=0,K210,0)</f>
        <v>0</v>
      </c>
      <c r="M210" s="58">
        <f>IF(K210&lt;=0,K210,0)</f>
        <v>0</v>
      </c>
      <c r="N210" s="58">
        <f>L210+-M210</f>
        <v>0</v>
      </c>
      <c r="O210" s="19"/>
      <c r="P210" s="19">
        <f t="shared" si="10"/>
        <v>0</v>
      </c>
      <c r="Q210" s="19">
        <f t="shared" si="11"/>
        <v>1</v>
      </c>
    </row>
    <row r="211" spans="2:17" x14ac:dyDescent="0.2">
      <c r="B211" s="149">
        <v>4040234940</v>
      </c>
      <c r="C211" s="149" t="s">
        <v>328</v>
      </c>
      <c r="D211" s="150" t="s">
        <v>58</v>
      </c>
      <c r="E211" s="151">
        <v>0.56999999999999995</v>
      </c>
      <c r="F211" s="151">
        <v>120</v>
      </c>
      <c r="G211" s="151">
        <v>68.400000000000006</v>
      </c>
      <c r="H211" s="151">
        <v>120</v>
      </c>
      <c r="I211" s="151">
        <v>68.400000000000006</v>
      </c>
      <c r="J211" s="151">
        <v>0</v>
      </c>
      <c r="K211" s="151">
        <v>0</v>
      </c>
      <c r="L211" s="58">
        <f>IF(K211&gt;=0,K211,0)</f>
        <v>0</v>
      </c>
      <c r="M211" s="58">
        <f>IF(K211&lt;=0,K211,0)</f>
        <v>0</v>
      </c>
      <c r="N211" s="58">
        <f>L211+-M211</f>
        <v>0</v>
      </c>
      <c r="O211" s="19"/>
      <c r="P211" s="19">
        <f t="shared" si="10"/>
        <v>0</v>
      </c>
      <c r="Q211" s="19">
        <f t="shared" si="11"/>
        <v>1</v>
      </c>
    </row>
    <row r="212" spans="2:17" x14ac:dyDescent="0.2">
      <c r="B212" s="149">
        <v>101020025</v>
      </c>
      <c r="C212" s="149" t="s">
        <v>103</v>
      </c>
      <c r="D212" s="150" t="s">
        <v>51</v>
      </c>
      <c r="E212" s="151">
        <v>6.91</v>
      </c>
      <c r="F212" s="151">
        <v>8.24</v>
      </c>
      <c r="G212" s="151">
        <v>56.938400000000001</v>
      </c>
      <c r="H212" s="151">
        <v>8.24</v>
      </c>
      <c r="I212" s="151">
        <v>56.938400000000001</v>
      </c>
      <c r="J212" s="151">
        <v>0</v>
      </c>
      <c r="K212" s="151">
        <v>0</v>
      </c>
      <c r="L212" s="58">
        <f>IF(K212&gt;=0,K212,0)</f>
        <v>0</v>
      </c>
      <c r="M212" s="58">
        <f>IF(K212&lt;=0,K212,0)</f>
        <v>0</v>
      </c>
      <c r="N212" s="58">
        <f>L212+-M212</f>
        <v>0</v>
      </c>
      <c r="O212" s="19"/>
      <c r="P212" s="19">
        <f t="shared" si="10"/>
        <v>0</v>
      </c>
      <c r="Q212" s="19">
        <f t="shared" si="11"/>
        <v>1</v>
      </c>
    </row>
    <row r="213" spans="2:17" x14ac:dyDescent="0.2">
      <c r="B213" s="149">
        <v>103020014</v>
      </c>
      <c r="C213" s="149" t="s">
        <v>259</v>
      </c>
      <c r="D213" s="150" t="s">
        <v>51</v>
      </c>
      <c r="E213" s="151">
        <v>8.6452329999999993</v>
      </c>
      <c r="F213" s="151">
        <v>56.91</v>
      </c>
      <c r="G213" s="151">
        <v>492.00020999999998</v>
      </c>
      <c r="H213" s="151">
        <v>56.91</v>
      </c>
      <c r="I213" s="151">
        <v>492.00020999999998</v>
      </c>
      <c r="J213" s="151">
        <v>0</v>
      </c>
      <c r="K213" s="151">
        <v>0</v>
      </c>
      <c r="L213" s="58">
        <f>IF(K213&gt;=0,K213,0)</f>
        <v>0</v>
      </c>
      <c r="M213" s="58">
        <f>IF(K213&lt;=0,K213,0)</f>
        <v>0</v>
      </c>
      <c r="N213" s="58">
        <f>L213+-M213</f>
        <v>0</v>
      </c>
      <c r="O213" s="19"/>
      <c r="P213" s="19">
        <f t="shared" si="10"/>
        <v>0</v>
      </c>
      <c r="Q213" s="19">
        <f t="shared" si="11"/>
        <v>1</v>
      </c>
    </row>
    <row r="214" spans="2:17" x14ac:dyDescent="0.2">
      <c r="B214" s="149">
        <v>50608041959</v>
      </c>
      <c r="C214" s="149" t="s">
        <v>286</v>
      </c>
      <c r="D214" s="150" t="s">
        <v>54</v>
      </c>
      <c r="E214" s="151">
        <v>34</v>
      </c>
      <c r="F214" s="151">
        <v>2</v>
      </c>
      <c r="G214" s="151">
        <v>68</v>
      </c>
      <c r="H214" s="151">
        <v>2</v>
      </c>
      <c r="I214" s="151">
        <v>68</v>
      </c>
      <c r="J214" s="151">
        <v>0</v>
      </c>
      <c r="K214" s="151">
        <v>0</v>
      </c>
      <c r="L214" s="58">
        <f>IF(K214&gt;=0,K214,0)</f>
        <v>0</v>
      </c>
      <c r="M214" s="58">
        <f>IF(K214&lt;=0,K214,0)</f>
        <v>0</v>
      </c>
      <c r="N214" s="58">
        <f>L214+-M214</f>
        <v>0</v>
      </c>
      <c r="O214" s="19"/>
      <c r="P214" s="19">
        <f t="shared" si="10"/>
        <v>0</v>
      </c>
      <c r="Q214" s="19">
        <f t="shared" si="11"/>
        <v>1</v>
      </c>
    </row>
    <row r="215" spans="2:17" x14ac:dyDescent="0.2">
      <c r="B215" s="149">
        <v>5060830580</v>
      </c>
      <c r="C215" s="149" t="s">
        <v>388</v>
      </c>
      <c r="D215" s="150" t="s">
        <v>54</v>
      </c>
      <c r="E215" s="151">
        <v>61.5</v>
      </c>
      <c r="F215" s="151">
        <v>2</v>
      </c>
      <c r="G215" s="151">
        <v>123</v>
      </c>
      <c r="H215" s="151">
        <v>2</v>
      </c>
      <c r="I215" s="151">
        <v>123</v>
      </c>
      <c r="J215" s="151">
        <v>0</v>
      </c>
      <c r="K215" s="151">
        <v>0</v>
      </c>
      <c r="L215" s="58">
        <f>IF(K215&gt;=0,K215,0)</f>
        <v>0</v>
      </c>
      <c r="M215" s="58">
        <f>IF(K215&lt;=0,K215,0)</f>
        <v>0</v>
      </c>
      <c r="N215" s="58">
        <f>L215+-M215</f>
        <v>0</v>
      </c>
      <c r="O215" s="19"/>
      <c r="P215" s="19">
        <f t="shared" si="10"/>
        <v>0</v>
      </c>
      <c r="Q215" s="19">
        <f t="shared" si="11"/>
        <v>1</v>
      </c>
    </row>
    <row r="216" spans="2:17" x14ac:dyDescent="0.2">
      <c r="B216" s="149">
        <v>102010036</v>
      </c>
      <c r="C216" s="149" t="s">
        <v>202</v>
      </c>
      <c r="D216" s="150" t="s">
        <v>51</v>
      </c>
      <c r="E216" s="151">
        <v>5</v>
      </c>
      <c r="F216" s="151">
        <v>11</v>
      </c>
      <c r="G216" s="151">
        <v>55</v>
      </c>
      <c r="H216" s="151">
        <v>11</v>
      </c>
      <c r="I216" s="151">
        <v>55</v>
      </c>
      <c r="J216" s="151">
        <v>0</v>
      </c>
      <c r="K216" s="151">
        <v>0</v>
      </c>
      <c r="L216" s="58">
        <f>IF(K216&gt;=0,K216,0)</f>
        <v>0</v>
      </c>
      <c r="M216" s="58">
        <f>IF(K216&lt;=0,K216,0)</f>
        <v>0</v>
      </c>
      <c r="N216" s="58">
        <f>L216+-M216</f>
        <v>0</v>
      </c>
      <c r="O216" s="19"/>
      <c r="P216" s="19">
        <f t="shared" si="10"/>
        <v>0</v>
      </c>
      <c r="Q216" s="19">
        <f t="shared" si="11"/>
        <v>1</v>
      </c>
    </row>
    <row r="217" spans="2:17" x14ac:dyDescent="0.2">
      <c r="B217" s="149">
        <v>5040231670</v>
      </c>
      <c r="C217" s="149" t="s">
        <v>105</v>
      </c>
      <c r="D217" s="150" t="s">
        <v>65</v>
      </c>
      <c r="E217" s="151">
        <v>25</v>
      </c>
      <c r="F217" s="151">
        <v>76</v>
      </c>
      <c r="G217" s="152">
        <v>1900</v>
      </c>
      <c r="H217" s="151">
        <v>76</v>
      </c>
      <c r="I217" s="152">
        <v>1900</v>
      </c>
      <c r="J217" s="151">
        <v>0</v>
      </c>
      <c r="K217" s="151">
        <v>0</v>
      </c>
      <c r="L217" s="58">
        <f>IF(K217&gt;=0,K217,0)</f>
        <v>0</v>
      </c>
      <c r="M217" s="58">
        <f>IF(K217&lt;=0,K217,0)</f>
        <v>0</v>
      </c>
      <c r="N217" s="58">
        <f>L217+-M217</f>
        <v>0</v>
      </c>
      <c r="O217" s="19"/>
      <c r="P217" s="19">
        <f t="shared" si="10"/>
        <v>0</v>
      </c>
      <c r="Q217" s="19">
        <f t="shared" si="11"/>
        <v>1</v>
      </c>
    </row>
    <row r="218" spans="2:17" x14ac:dyDescent="0.2">
      <c r="B218" s="149">
        <v>50402042247</v>
      </c>
      <c r="C218" s="149" t="s">
        <v>389</v>
      </c>
      <c r="D218" s="150" t="s">
        <v>87</v>
      </c>
      <c r="E218" s="151">
        <v>80.5</v>
      </c>
      <c r="F218" s="151">
        <v>40.82</v>
      </c>
      <c r="G218" s="152">
        <v>3286.01</v>
      </c>
      <c r="H218" s="151">
        <v>40.82</v>
      </c>
      <c r="I218" s="152">
        <v>3286.01</v>
      </c>
      <c r="J218" s="151">
        <v>0</v>
      </c>
      <c r="K218" s="151">
        <v>0</v>
      </c>
      <c r="L218" s="58">
        <f>IF(K218&gt;=0,K218,0)</f>
        <v>0</v>
      </c>
      <c r="M218" s="58">
        <f>IF(K218&lt;=0,K218,0)</f>
        <v>0</v>
      </c>
      <c r="N218" s="58">
        <f>L218+-M218</f>
        <v>0</v>
      </c>
      <c r="O218" s="19"/>
      <c r="P218" s="19">
        <f t="shared" si="10"/>
        <v>0</v>
      </c>
      <c r="Q218" s="19">
        <f t="shared" si="11"/>
        <v>1</v>
      </c>
    </row>
    <row r="219" spans="2:17" x14ac:dyDescent="0.2">
      <c r="B219" s="149">
        <v>1020132280</v>
      </c>
      <c r="C219" s="149" t="s">
        <v>106</v>
      </c>
      <c r="D219" s="150" t="s">
        <v>54</v>
      </c>
      <c r="E219" s="151">
        <v>1.85</v>
      </c>
      <c r="F219" s="151">
        <v>4</v>
      </c>
      <c r="G219" s="151">
        <v>7.4</v>
      </c>
      <c r="H219" s="151">
        <v>4</v>
      </c>
      <c r="I219" s="151">
        <v>7.4</v>
      </c>
      <c r="J219" s="151">
        <v>0</v>
      </c>
      <c r="K219" s="151">
        <v>0</v>
      </c>
      <c r="L219" s="58">
        <f>IF(K219&gt;=0,K219,0)</f>
        <v>0</v>
      </c>
      <c r="M219" s="58">
        <f>IF(K219&lt;=0,K219,0)</f>
        <v>0</v>
      </c>
      <c r="N219" s="58">
        <f>L219+-M219</f>
        <v>0</v>
      </c>
      <c r="O219" s="19"/>
      <c r="P219" s="19">
        <f t="shared" si="10"/>
        <v>0</v>
      </c>
      <c r="Q219" s="19">
        <f t="shared" si="11"/>
        <v>1</v>
      </c>
    </row>
    <row r="220" spans="2:17" x14ac:dyDescent="0.2">
      <c r="B220" s="149">
        <v>1020125405</v>
      </c>
      <c r="C220" s="149" t="s">
        <v>107</v>
      </c>
      <c r="D220" s="150" t="s">
        <v>87</v>
      </c>
      <c r="E220" s="151">
        <v>4.3600000000000003</v>
      </c>
      <c r="F220" s="151">
        <v>25</v>
      </c>
      <c r="G220" s="151">
        <v>109</v>
      </c>
      <c r="H220" s="151">
        <v>25</v>
      </c>
      <c r="I220" s="151">
        <v>109</v>
      </c>
      <c r="J220" s="151">
        <v>0</v>
      </c>
      <c r="K220" s="151">
        <v>0</v>
      </c>
      <c r="L220" s="58">
        <f>IF(K220&gt;=0,K220,0)</f>
        <v>0</v>
      </c>
      <c r="M220" s="58">
        <f>IF(K220&lt;=0,K220,0)</f>
        <v>0</v>
      </c>
      <c r="N220" s="58">
        <f>L220+-M220</f>
        <v>0</v>
      </c>
      <c r="O220" s="19"/>
      <c r="P220" s="19">
        <f t="shared" si="10"/>
        <v>0</v>
      </c>
      <c r="Q220" s="19">
        <f t="shared" si="11"/>
        <v>1</v>
      </c>
    </row>
    <row r="221" spans="2:17" x14ac:dyDescent="0.2">
      <c r="B221" s="149">
        <v>1020125409</v>
      </c>
      <c r="C221" s="149" t="s">
        <v>109</v>
      </c>
      <c r="D221" s="150" t="s">
        <v>87</v>
      </c>
      <c r="E221" s="151">
        <v>4.3600000000000003</v>
      </c>
      <c r="F221" s="151">
        <v>19</v>
      </c>
      <c r="G221" s="151">
        <v>82.84</v>
      </c>
      <c r="H221" s="151">
        <v>19</v>
      </c>
      <c r="I221" s="151">
        <v>82.84</v>
      </c>
      <c r="J221" s="151">
        <v>0</v>
      </c>
      <c r="K221" s="151">
        <v>0</v>
      </c>
      <c r="L221" s="58">
        <f>IF(K221&gt;=0,K221,0)</f>
        <v>0</v>
      </c>
      <c r="M221" s="58">
        <f>IF(K221&lt;=0,K221,0)</f>
        <v>0</v>
      </c>
      <c r="N221" s="58">
        <f>L221+-M221</f>
        <v>0</v>
      </c>
      <c r="O221" s="19"/>
      <c r="P221" s="19">
        <f t="shared" si="10"/>
        <v>0</v>
      </c>
      <c r="Q221" s="19">
        <f t="shared" si="11"/>
        <v>1</v>
      </c>
    </row>
    <row r="222" spans="2:17" x14ac:dyDescent="0.2">
      <c r="B222" s="149">
        <v>1020132344</v>
      </c>
      <c r="C222" s="149" t="s">
        <v>191</v>
      </c>
      <c r="D222" s="150" t="s">
        <v>54</v>
      </c>
      <c r="E222" s="151">
        <v>1.77</v>
      </c>
      <c r="F222" s="151">
        <v>10</v>
      </c>
      <c r="G222" s="151">
        <v>17.7</v>
      </c>
      <c r="H222" s="151">
        <v>10</v>
      </c>
      <c r="I222" s="151">
        <v>17.7</v>
      </c>
      <c r="J222" s="151">
        <v>0</v>
      </c>
      <c r="K222" s="151">
        <v>0</v>
      </c>
      <c r="L222" s="58">
        <f>IF(K222&gt;=0,K222,0)</f>
        <v>0</v>
      </c>
      <c r="M222" s="58">
        <f>IF(K222&lt;=0,K222,0)</f>
        <v>0</v>
      </c>
      <c r="N222" s="58">
        <f>L222+-M222</f>
        <v>0</v>
      </c>
      <c r="O222" s="19"/>
      <c r="P222" s="19">
        <f t="shared" si="10"/>
        <v>0</v>
      </c>
      <c r="Q222" s="19">
        <f t="shared" si="11"/>
        <v>1</v>
      </c>
    </row>
    <row r="223" spans="2:17" x14ac:dyDescent="0.2">
      <c r="B223" s="149">
        <v>1020125402</v>
      </c>
      <c r="C223" s="149" t="s">
        <v>110</v>
      </c>
      <c r="D223" s="150" t="s">
        <v>87</v>
      </c>
      <c r="E223" s="151">
        <v>4.3600000000000003</v>
      </c>
      <c r="F223" s="151">
        <v>61</v>
      </c>
      <c r="G223" s="151">
        <v>265.95999999999998</v>
      </c>
      <c r="H223" s="151">
        <v>61</v>
      </c>
      <c r="I223" s="151">
        <v>265.95999999999998</v>
      </c>
      <c r="J223" s="151">
        <v>0</v>
      </c>
      <c r="K223" s="151">
        <v>0</v>
      </c>
      <c r="L223" s="58">
        <f>IF(K223&gt;=0,K223,0)</f>
        <v>0</v>
      </c>
      <c r="M223" s="58">
        <f>IF(K223&lt;=0,K223,0)</f>
        <v>0</v>
      </c>
      <c r="N223" s="58">
        <f>L223+-M223</f>
        <v>0</v>
      </c>
      <c r="O223" s="19"/>
      <c r="P223" s="19">
        <f t="shared" si="10"/>
        <v>0</v>
      </c>
      <c r="Q223" s="19">
        <f t="shared" si="11"/>
        <v>1</v>
      </c>
    </row>
    <row r="224" spans="2:17" x14ac:dyDescent="0.2">
      <c r="B224" s="149">
        <v>1020125403</v>
      </c>
      <c r="C224" s="149" t="s">
        <v>460</v>
      </c>
      <c r="D224" s="150" t="s">
        <v>87</v>
      </c>
      <c r="E224" s="151">
        <v>6.23</v>
      </c>
      <c r="F224" s="151">
        <v>4</v>
      </c>
      <c r="G224" s="151">
        <v>24.92</v>
      </c>
      <c r="H224" s="151">
        <v>4</v>
      </c>
      <c r="I224" s="151">
        <v>24.92</v>
      </c>
      <c r="J224" s="151">
        <v>0</v>
      </c>
      <c r="K224" s="151">
        <v>0</v>
      </c>
      <c r="L224" s="58">
        <f>IF(K224&gt;=0,K224,0)</f>
        <v>0</v>
      </c>
      <c r="M224" s="58">
        <f>IF(K224&lt;=0,K224,0)</f>
        <v>0</v>
      </c>
      <c r="N224" s="58">
        <f>L224+-M224</f>
        <v>0</v>
      </c>
      <c r="O224" s="19"/>
      <c r="P224" s="19">
        <f t="shared" si="10"/>
        <v>0</v>
      </c>
      <c r="Q224" s="19">
        <f t="shared" si="11"/>
        <v>1</v>
      </c>
    </row>
    <row r="225" spans="2:17" x14ac:dyDescent="0.2">
      <c r="B225" s="149">
        <v>1020125390</v>
      </c>
      <c r="C225" s="149" t="s">
        <v>461</v>
      </c>
      <c r="D225" s="150" t="s">
        <v>87</v>
      </c>
      <c r="E225" s="151">
        <v>5.15</v>
      </c>
      <c r="F225" s="151">
        <v>1</v>
      </c>
      <c r="G225" s="151">
        <v>5.15</v>
      </c>
      <c r="H225" s="151">
        <v>1</v>
      </c>
      <c r="I225" s="151">
        <v>5.15</v>
      </c>
      <c r="J225" s="151">
        <v>0</v>
      </c>
      <c r="K225" s="151">
        <v>0</v>
      </c>
      <c r="L225" s="58">
        <f>IF(K225&gt;=0,K225,0)</f>
        <v>0</v>
      </c>
      <c r="M225" s="58">
        <f>IF(K225&lt;=0,K225,0)</f>
        <v>0</v>
      </c>
      <c r="N225" s="58">
        <f>L225+-M225</f>
        <v>0</v>
      </c>
      <c r="O225" s="19"/>
      <c r="P225" s="19">
        <f t="shared" si="10"/>
        <v>0</v>
      </c>
      <c r="Q225" s="19">
        <f t="shared" si="11"/>
        <v>1</v>
      </c>
    </row>
    <row r="226" spans="2:17" x14ac:dyDescent="0.2">
      <c r="B226" s="149">
        <v>1020125401</v>
      </c>
      <c r="C226" s="149" t="s">
        <v>203</v>
      </c>
      <c r="D226" s="150" t="s">
        <v>87</v>
      </c>
      <c r="E226" s="151">
        <v>5.15</v>
      </c>
      <c r="F226" s="151">
        <v>42</v>
      </c>
      <c r="G226" s="151">
        <v>216.3</v>
      </c>
      <c r="H226" s="151">
        <v>42</v>
      </c>
      <c r="I226" s="151">
        <v>216.3</v>
      </c>
      <c r="J226" s="151">
        <v>0</v>
      </c>
      <c r="K226" s="151">
        <v>0</v>
      </c>
      <c r="L226" s="58">
        <f>IF(K226&gt;=0,K226,0)</f>
        <v>0</v>
      </c>
      <c r="M226" s="58">
        <f>IF(K226&lt;=0,K226,0)</f>
        <v>0</v>
      </c>
      <c r="N226" s="58">
        <f>L226+-M226</f>
        <v>0</v>
      </c>
      <c r="O226" s="19"/>
      <c r="P226" s="19">
        <f t="shared" si="10"/>
        <v>0</v>
      </c>
      <c r="Q226" s="19">
        <f t="shared" si="11"/>
        <v>1</v>
      </c>
    </row>
    <row r="227" spans="2:17" x14ac:dyDescent="0.2">
      <c r="B227" s="149">
        <v>1020125404</v>
      </c>
      <c r="C227" s="149" t="s">
        <v>204</v>
      </c>
      <c r="D227" s="150" t="s">
        <v>87</v>
      </c>
      <c r="E227" s="151">
        <v>6.23</v>
      </c>
      <c r="F227" s="151">
        <v>34</v>
      </c>
      <c r="G227" s="151">
        <v>211.82</v>
      </c>
      <c r="H227" s="151">
        <v>34</v>
      </c>
      <c r="I227" s="151">
        <v>211.82</v>
      </c>
      <c r="J227" s="151">
        <v>0</v>
      </c>
      <c r="K227" s="151">
        <v>0</v>
      </c>
      <c r="L227" s="58">
        <f>IF(K227&gt;=0,K227,0)</f>
        <v>0</v>
      </c>
      <c r="M227" s="58">
        <f>IF(K227&lt;=0,K227,0)</f>
        <v>0</v>
      </c>
      <c r="N227" s="58">
        <f>L227+-M227</f>
        <v>0</v>
      </c>
      <c r="O227" s="19"/>
      <c r="P227" s="19">
        <f t="shared" si="10"/>
        <v>0</v>
      </c>
      <c r="Q227" s="19">
        <f t="shared" si="11"/>
        <v>1</v>
      </c>
    </row>
    <row r="228" spans="2:17" x14ac:dyDescent="0.2">
      <c r="B228" s="149" t="s">
        <v>329</v>
      </c>
      <c r="C228" s="149" t="s">
        <v>330</v>
      </c>
      <c r="D228" s="150" t="s">
        <v>48</v>
      </c>
      <c r="E228" s="151">
        <v>46.21</v>
      </c>
      <c r="F228" s="151">
        <v>4</v>
      </c>
      <c r="G228" s="151">
        <v>184.84</v>
      </c>
      <c r="H228" s="151">
        <v>4</v>
      </c>
      <c r="I228" s="151">
        <v>184.84</v>
      </c>
      <c r="J228" s="151">
        <v>0</v>
      </c>
      <c r="K228" s="151">
        <v>0</v>
      </c>
      <c r="L228" s="58">
        <f>IF(K228&gt;=0,K228,0)</f>
        <v>0</v>
      </c>
      <c r="M228" s="58">
        <f>IF(K228&lt;=0,K228,0)</f>
        <v>0</v>
      </c>
      <c r="N228" s="58">
        <f>L228+-M228</f>
        <v>0</v>
      </c>
      <c r="O228" s="19"/>
      <c r="P228" s="19">
        <f t="shared" si="10"/>
        <v>0</v>
      </c>
      <c r="Q228" s="19">
        <f t="shared" si="11"/>
        <v>1</v>
      </c>
    </row>
    <row r="229" spans="2:17" x14ac:dyDescent="0.2">
      <c r="B229" s="149">
        <v>3020367</v>
      </c>
      <c r="C229" s="149" t="s">
        <v>362</v>
      </c>
      <c r="D229" s="150" t="s">
        <v>74</v>
      </c>
      <c r="E229" s="151">
        <v>2.44</v>
      </c>
      <c r="F229" s="151">
        <v>12</v>
      </c>
      <c r="G229" s="151">
        <v>29.28</v>
      </c>
      <c r="H229" s="151">
        <v>12</v>
      </c>
      <c r="I229" s="151">
        <v>29.28</v>
      </c>
      <c r="J229" s="151">
        <v>0</v>
      </c>
      <c r="K229" s="151">
        <v>0</v>
      </c>
      <c r="L229" s="58">
        <f>IF(K229&gt;=0,K229,0)</f>
        <v>0</v>
      </c>
      <c r="M229" s="58">
        <f>IF(K229&lt;=0,K229,0)</f>
        <v>0</v>
      </c>
      <c r="N229" s="58">
        <f>L229+-M229</f>
        <v>0</v>
      </c>
      <c r="O229" s="19"/>
      <c r="P229" s="19">
        <f t="shared" si="10"/>
        <v>0</v>
      </c>
      <c r="Q229" s="19">
        <f t="shared" si="11"/>
        <v>1</v>
      </c>
    </row>
    <row r="230" spans="2:17" x14ac:dyDescent="0.2">
      <c r="B230" s="149">
        <v>2030635102</v>
      </c>
      <c r="C230" s="149" t="s">
        <v>363</v>
      </c>
      <c r="D230" s="150" t="s">
        <v>74</v>
      </c>
      <c r="E230" s="151">
        <v>3.927</v>
      </c>
      <c r="F230" s="151">
        <v>42</v>
      </c>
      <c r="G230" s="151">
        <v>164.934</v>
      </c>
      <c r="H230" s="151">
        <v>42</v>
      </c>
      <c r="I230" s="151">
        <v>164.934</v>
      </c>
      <c r="J230" s="151">
        <v>0</v>
      </c>
      <c r="K230" s="151">
        <v>0</v>
      </c>
      <c r="L230" s="58">
        <f>IF(K230&gt;=0,K230,0)</f>
        <v>0</v>
      </c>
      <c r="M230" s="58">
        <f>IF(K230&lt;=0,K230,0)</f>
        <v>0</v>
      </c>
      <c r="N230" s="58">
        <f>L230+-M230</f>
        <v>0</v>
      </c>
      <c r="O230" s="19"/>
      <c r="P230" s="19">
        <f t="shared" si="10"/>
        <v>0</v>
      </c>
      <c r="Q230" s="19">
        <f t="shared" si="11"/>
        <v>1</v>
      </c>
    </row>
    <row r="231" spans="2:17" x14ac:dyDescent="0.2">
      <c r="B231" s="149">
        <v>4020131171</v>
      </c>
      <c r="C231" s="149" t="s">
        <v>111</v>
      </c>
      <c r="D231" s="150" t="s">
        <v>51</v>
      </c>
      <c r="E231" s="151">
        <v>12.834</v>
      </c>
      <c r="F231" s="151">
        <v>43</v>
      </c>
      <c r="G231" s="151">
        <v>551.86199999999997</v>
      </c>
      <c r="H231" s="151">
        <v>43</v>
      </c>
      <c r="I231" s="151">
        <v>551.86199999999997</v>
      </c>
      <c r="J231" s="151">
        <v>0</v>
      </c>
      <c r="K231" s="151">
        <v>0</v>
      </c>
      <c r="L231" s="58">
        <f>IF(K231&gt;=0,K231,0)</f>
        <v>0</v>
      </c>
      <c r="M231" s="58">
        <f>IF(K231&lt;=0,K231,0)</f>
        <v>0</v>
      </c>
      <c r="N231" s="58">
        <f>L231+-M231</f>
        <v>0</v>
      </c>
      <c r="O231" s="19"/>
      <c r="P231" s="19">
        <f t="shared" si="10"/>
        <v>0</v>
      </c>
      <c r="Q231" s="19">
        <f t="shared" si="11"/>
        <v>1</v>
      </c>
    </row>
    <row r="232" spans="2:17" x14ac:dyDescent="0.2">
      <c r="B232" s="149">
        <v>102040050</v>
      </c>
      <c r="C232" s="149" t="s">
        <v>260</v>
      </c>
      <c r="D232" s="150" t="s">
        <v>51</v>
      </c>
      <c r="E232" s="151">
        <v>11.577</v>
      </c>
      <c r="F232" s="151">
        <v>36</v>
      </c>
      <c r="G232" s="151">
        <v>416.77199999999999</v>
      </c>
      <c r="H232" s="151">
        <v>36</v>
      </c>
      <c r="I232" s="151">
        <v>416.77199999999999</v>
      </c>
      <c r="J232" s="151">
        <v>0</v>
      </c>
      <c r="K232" s="151">
        <v>0</v>
      </c>
      <c r="L232" s="58">
        <f>IF(K232&gt;=0,K232,0)</f>
        <v>0</v>
      </c>
      <c r="M232" s="58">
        <f>IF(K232&lt;=0,K232,0)</f>
        <v>0</v>
      </c>
      <c r="N232" s="58">
        <f>L232+-M232</f>
        <v>0</v>
      </c>
      <c r="O232" s="19"/>
      <c r="P232" s="19">
        <f t="shared" si="10"/>
        <v>0</v>
      </c>
      <c r="Q232" s="19">
        <f t="shared" si="11"/>
        <v>1</v>
      </c>
    </row>
    <row r="233" spans="2:17" x14ac:dyDescent="0.2">
      <c r="B233" s="149">
        <v>3020324</v>
      </c>
      <c r="C233" s="149" t="s">
        <v>418</v>
      </c>
      <c r="D233" s="150" t="s">
        <v>49</v>
      </c>
      <c r="E233" s="151">
        <v>521.4</v>
      </c>
      <c r="F233" s="151">
        <v>1</v>
      </c>
      <c r="G233" s="151">
        <v>521.4</v>
      </c>
      <c r="H233" s="151">
        <v>1</v>
      </c>
      <c r="I233" s="151">
        <v>521.4</v>
      </c>
      <c r="J233" s="151">
        <v>0</v>
      </c>
      <c r="K233" s="151">
        <v>0</v>
      </c>
      <c r="L233" s="58">
        <f>IF(K233&gt;=0,K233,0)</f>
        <v>0</v>
      </c>
      <c r="M233" s="58">
        <f>IF(K233&lt;=0,K233,0)</f>
        <v>0</v>
      </c>
      <c r="N233" s="58">
        <f>L233+-M233</f>
        <v>0</v>
      </c>
      <c r="O233" s="19"/>
      <c r="P233" s="19">
        <f t="shared" si="10"/>
        <v>0</v>
      </c>
      <c r="Q233" s="19">
        <f t="shared" si="11"/>
        <v>1</v>
      </c>
    </row>
    <row r="234" spans="2:17" x14ac:dyDescent="0.2">
      <c r="B234" s="149">
        <v>3020325</v>
      </c>
      <c r="C234" s="149" t="s">
        <v>419</v>
      </c>
      <c r="D234" s="150" t="s">
        <v>49</v>
      </c>
      <c r="E234" s="151">
        <v>497.04</v>
      </c>
      <c r="F234" s="151">
        <v>2</v>
      </c>
      <c r="G234" s="151">
        <v>994.08</v>
      </c>
      <c r="H234" s="151">
        <v>2</v>
      </c>
      <c r="I234" s="151">
        <v>994.08</v>
      </c>
      <c r="J234" s="151">
        <v>0</v>
      </c>
      <c r="K234" s="151">
        <v>0</v>
      </c>
      <c r="L234" s="58">
        <f>IF(K234&gt;=0,K234,0)</f>
        <v>0</v>
      </c>
      <c r="M234" s="58">
        <f>IF(K234&lt;=0,K234,0)</f>
        <v>0</v>
      </c>
      <c r="N234" s="58">
        <f>L234+-M234</f>
        <v>0</v>
      </c>
      <c r="O234" s="19"/>
      <c r="P234" s="19">
        <f t="shared" si="10"/>
        <v>0</v>
      </c>
      <c r="Q234" s="19">
        <f t="shared" si="11"/>
        <v>1</v>
      </c>
    </row>
    <row r="235" spans="2:17" x14ac:dyDescent="0.2">
      <c r="B235" s="149">
        <v>402080001</v>
      </c>
      <c r="C235" s="149" t="s">
        <v>331</v>
      </c>
      <c r="D235" s="150" t="s">
        <v>87</v>
      </c>
      <c r="E235" s="151">
        <v>0.88</v>
      </c>
      <c r="F235" s="151">
        <v>115</v>
      </c>
      <c r="G235" s="151">
        <v>101.2</v>
      </c>
      <c r="H235" s="151">
        <v>115</v>
      </c>
      <c r="I235" s="151">
        <v>101.2</v>
      </c>
      <c r="J235" s="151">
        <v>0</v>
      </c>
      <c r="K235" s="151">
        <v>0</v>
      </c>
      <c r="L235" s="58">
        <f>IF(K235&gt;=0,K235,0)</f>
        <v>0</v>
      </c>
      <c r="M235" s="58">
        <f>IF(K235&lt;=0,K235,0)</f>
        <v>0</v>
      </c>
      <c r="N235" s="58">
        <f>L235+-M235</f>
        <v>0</v>
      </c>
      <c r="O235" s="19"/>
      <c r="P235" s="19">
        <f t="shared" si="10"/>
        <v>0</v>
      </c>
      <c r="Q235" s="19">
        <f t="shared" si="11"/>
        <v>1</v>
      </c>
    </row>
    <row r="236" spans="2:17" x14ac:dyDescent="0.2">
      <c r="B236" s="149">
        <v>302020006</v>
      </c>
      <c r="C236" s="149" t="s">
        <v>364</v>
      </c>
      <c r="D236" s="150" t="s">
        <v>87</v>
      </c>
      <c r="E236" s="151">
        <v>0.88</v>
      </c>
      <c r="F236" s="151">
        <v>14</v>
      </c>
      <c r="G236" s="151">
        <v>12.32</v>
      </c>
      <c r="H236" s="151">
        <v>14</v>
      </c>
      <c r="I236" s="151">
        <v>12.32</v>
      </c>
      <c r="J236" s="151">
        <v>0</v>
      </c>
      <c r="K236" s="151">
        <v>0</v>
      </c>
      <c r="L236" s="58">
        <f>IF(K236&gt;=0,K236,0)</f>
        <v>0</v>
      </c>
      <c r="M236" s="58">
        <f>IF(K236&lt;=0,K236,0)</f>
        <v>0</v>
      </c>
      <c r="N236" s="58">
        <f>L236+-M236</f>
        <v>0</v>
      </c>
      <c r="O236" s="19"/>
      <c r="P236" s="19">
        <f t="shared" si="10"/>
        <v>0</v>
      </c>
      <c r="Q236" s="19">
        <f t="shared" si="11"/>
        <v>1</v>
      </c>
    </row>
    <row r="237" spans="2:17" x14ac:dyDescent="0.2">
      <c r="B237" s="149">
        <v>102030298</v>
      </c>
      <c r="C237" s="149" t="s">
        <v>420</v>
      </c>
      <c r="D237" s="150" t="s">
        <v>47</v>
      </c>
      <c r="E237" s="151">
        <v>18</v>
      </c>
      <c r="F237" s="151">
        <v>12</v>
      </c>
      <c r="G237" s="151">
        <v>216</v>
      </c>
      <c r="H237" s="151">
        <v>12</v>
      </c>
      <c r="I237" s="151">
        <v>216</v>
      </c>
      <c r="J237" s="151">
        <v>0</v>
      </c>
      <c r="K237" s="151">
        <v>0</v>
      </c>
      <c r="L237" s="58">
        <f>IF(K237&gt;=0,K237,0)</f>
        <v>0</v>
      </c>
      <c r="M237" s="58">
        <f>IF(K237&lt;=0,K237,0)</f>
        <v>0</v>
      </c>
      <c r="N237" s="58">
        <f>L237+-M237</f>
        <v>0</v>
      </c>
      <c r="O237" s="19"/>
      <c r="P237" s="19">
        <f t="shared" si="10"/>
        <v>0</v>
      </c>
      <c r="Q237" s="19">
        <f t="shared" si="11"/>
        <v>1</v>
      </c>
    </row>
    <row r="238" spans="2:17" x14ac:dyDescent="0.2">
      <c r="B238" s="149">
        <v>101050519</v>
      </c>
      <c r="C238" s="149" t="s">
        <v>112</v>
      </c>
      <c r="D238" s="150" t="s">
        <v>113</v>
      </c>
      <c r="E238" s="151">
        <v>16.510000000000002</v>
      </c>
      <c r="F238" s="151">
        <v>4</v>
      </c>
      <c r="G238" s="151">
        <v>66.040000000000006</v>
      </c>
      <c r="H238" s="151">
        <v>4</v>
      </c>
      <c r="I238" s="151">
        <v>66.040000000000006</v>
      </c>
      <c r="J238" s="151">
        <v>0</v>
      </c>
      <c r="K238" s="151">
        <v>0</v>
      </c>
      <c r="L238" s="58">
        <f>IF(K238&gt;=0,K238,0)</f>
        <v>0</v>
      </c>
      <c r="M238" s="58">
        <f>IF(K238&lt;=0,K238,0)</f>
        <v>0</v>
      </c>
      <c r="N238" s="58">
        <f>L238+-M238</f>
        <v>0</v>
      </c>
      <c r="O238" s="19"/>
      <c r="P238" s="19">
        <f t="shared" si="10"/>
        <v>0</v>
      </c>
      <c r="Q238" s="19">
        <f t="shared" si="11"/>
        <v>1</v>
      </c>
    </row>
    <row r="239" spans="2:17" x14ac:dyDescent="0.2">
      <c r="B239" s="149">
        <v>1020927980</v>
      </c>
      <c r="C239" s="149" t="s">
        <v>196</v>
      </c>
      <c r="D239" s="150" t="s">
        <v>89</v>
      </c>
      <c r="E239" s="151">
        <v>8.3000000000000004E-2</v>
      </c>
      <c r="F239" s="152">
        <v>3528</v>
      </c>
      <c r="G239" s="151">
        <v>292.82400000000001</v>
      </c>
      <c r="H239" s="152">
        <v>3528</v>
      </c>
      <c r="I239" s="151">
        <v>292.82400000000001</v>
      </c>
      <c r="J239" s="151">
        <v>0</v>
      </c>
      <c r="K239" s="151">
        <v>0</v>
      </c>
      <c r="L239" s="58">
        <f>IF(K239&gt;=0,K239,0)</f>
        <v>0</v>
      </c>
      <c r="M239" s="58">
        <f>IF(K239&lt;=0,K239,0)</f>
        <v>0</v>
      </c>
      <c r="N239" s="58">
        <f>L239+-M239</f>
        <v>0</v>
      </c>
      <c r="O239" s="19"/>
      <c r="P239" s="19">
        <f t="shared" si="10"/>
        <v>0</v>
      </c>
      <c r="Q239" s="19">
        <f t="shared" si="11"/>
        <v>1</v>
      </c>
    </row>
    <row r="240" spans="2:17" x14ac:dyDescent="0.2">
      <c r="B240" s="149">
        <v>102010011</v>
      </c>
      <c r="C240" s="149" t="s">
        <v>390</v>
      </c>
      <c r="D240" s="150" t="s">
        <v>51</v>
      </c>
      <c r="E240" s="151">
        <v>5.53</v>
      </c>
      <c r="F240" s="151">
        <v>10</v>
      </c>
      <c r="G240" s="151">
        <v>55.3</v>
      </c>
      <c r="H240" s="151">
        <v>10</v>
      </c>
      <c r="I240" s="151">
        <v>55.3</v>
      </c>
      <c r="J240" s="151">
        <v>0</v>
      </c>
      <c r="K240" s="151">
        <v>0</v>
      </c>
      <c r="L240" s="58">
        <f>IF(K240&gt;=0,K240,0)</f>
        <v>0</v>
      </c>
      <c r="M240" s="58">
        <f>IF(K240&lt;=0,K240,0)</f>
        <v>0</v>
      </c>
      <c r="N240" s="58">
        <f>L240+-M240</f>
        <v>0</v>
      </c>
      <c r="O240" s="19"/>
      <c r="P240" s="19">
        <f t="shared" si="10"/>
        <v>0</v>
      </c>
      <c r="Q240" s="19">
        <f t="shared" si="11"/>
        <v>1</v>
      </c>
    </row>
    <row r="241" spans="2:17" x14ac:dyDescent="0.2">
      <c r="B241" s="149">
        <v>1020530674</v>
      </c>
      <c r="C241" s="149" t="s">
        <v>391</v>
      </c>
      <c r="D241" s="150" t="s">
        <v>54</v>
      </c>
      <c r="E241" s="151">
        <v>7.23</v>
      </c>
      <c r="F241" s="151">
        <v>13</v>
      </c>
      <c r="G241" s="151">
        <v>93.99</v>
      </c>
      <c r="H241" s="151">
        <v>13</v>
      </c>
      <c r="I241" s="151">
        <v>93.99</v>
      </c>
      <c r="J241" s="151">
        <v>0</v>
      </c>
      <c r="K241" s="151">
        <v>0</v>
      </c>
      <c r="L241" s="58">
        <f>IF(K241&gt;=0,K241,0)</f>
        <v>0</v>
      </c>
      <c r="M241" s="58">
        <f>IF(K241&lt;=0,K241,0)</f>
        <v>0</v>
      </c>
      <c r="N241" s="58">
        <f>L241+-M241</f>
        <v>0</v>
      </c>
      <c r="O241" s="19"/>
      <c r="P241" s="19">
        <f t="shared" si="10"/>
        <v>0</v>
      </c>
      <c r="Q241" s="19">
        <f t="shared" si="11"/>
        <v>1</v>
      </c>
    </row>
    <row r="242" spans="2:17" x14ac:dyDescent="0.2">
      <c r="B242" s="149">
        <v>102050011</v>
      </c>
      <c r="C242" s="149" t="s">
        <v>422</v>
      </c>
      <c r="D242" s="150" t="s">
        <v>51</v>
      </c>
      <c r="E242" s="151">
        <v>6.73</v>
      </c>
      <c r="F242" s="151">
        <v>24</v>
      </c>
      <c r="G242" s="151">
        <v>161.52000000000001</v>
      </c>
      <c r="H242" s="151">
        <v>24</v>
      </c>
      <c r="I242" s="151">
        <v>161.52000000000001</v>
      </c>
      <c r="J242" s="151">
        <v>0</v>
      </c>
      <c r="K242" s="151">
        <v>0</v>
      </c>
      <c r="L242" s="58">
        <f>IF(K242&gt;=0,K242,0)</f>
        <v>0</v>
      </c>
      <c r="M242" s="58">
        <f>IF(K242&lt;=0,K242,0)</f>
        <v>0</v>
      </c>
      <c r="N242" s="58">
        <f>L242+-M242</f>
        <v>0</v>
      </c>
      <c r="O242" s="19"/>
      <c r="P242" s="19">
        <f t="shared" si="10"/>
        <v>0</v>
      </c>
      <c r="Q242" s="19">
        <f t="shared" si="11"/>
        <v>1</v>
      </c>
    </row>
    <row r="243" spans="2:17" x14ac:dyDescent="0.2">
      <c r="B243" s="149">
        <v>1020530581</v>
      </c>
      <c r="C243" s="149" t="s">
        <v>365</v>
      </c>
      <c r="D243" s="150" t="s">
        <v>54</v>
      </c>
      <c r="E243" s="151">
        <v>174.71100000000001</v>
      </c>
      <c r="F243" s="151">
        <v>1</v>
      </c>
      <c r="G243" s="151">
        <v>174.71100000000001</v>
      </c>
      <c r="H243" s="151">
        <v>1</v>
      </c>
      <c r="I243" s="151">
        <v>174.71100000000001</v>
      </c>
      <c r="J243" s="151">
        <v>0</v>
      </c>
      <c r="K243" s="151">
        <v>0</v>
      </c>
      <c r="L243" s="58">
        <f>IF(K243&gt;=0,K243,0)</f>
        <v>0</v>
      </c>
      <c r="M243" s="58">
        <f>IF(K243&lt;=0,K243,0)</f>
        <v>0</v>
      </c>
      <c r="N243" s="58">
        <f>L243+-M243</f>
        <v>0</v>
      </c>
      <c r="O243" s="19"/>
      <c r="P243" s="19">
        <f t="shared" si="10"/>
        <v>0</v>
      </c>
      <c r="Q243" s="19">
        <f t="shared" si="11"/>
        <v>1</v>
      </c>
    </row>
    <row r="244" spans="2:17" x14ac:dyDescent="0.2">
      <c r="B244" s="149">
        <v>101010199</v>
      </c>
      <c r="C244" s="149" t="s">
        <v>114</v>
      </c>
      <c r="D244" s="150" t="s">
        <v>59</v>
      </c>
      <c r="E244" s="151">
        <v>4.3380000000000001</v>
      </c>
      <c r="F244" s="151">
        <v>80</v>
      </c>
      <c r="G244" s="151">
        <v>347.04</v>
      </c>
      <c r="H244" s="151">
        <v>80</v>
      </c>
      <c r="I244" s="151">
        <v>347.04</v>
      </c>
      <c r="J244" s="151">
        <v>0</v>
      </c>
      <c r="K244" s="151">
        <v>0</v>
      </c>
      <c r="L244" s="58">
        <f>IF(K244&gt;=0,K244,0)</f>
        <v>0</v>
      </c>
      <c r="M244" s="58">
        <f>IF(K244&lt;=0,K244,0)</f>
        <v>0</v>
      </c>
      <c r="N244" s="58">
        <f>L244+-M244</f>
        <v>0</v>
      </c>
      <c r="O244" s="19"/>
      <c r="P244" s="19">
        <f t="shared" si="10"/>
        <v>0</v>
      </c>
      <c r="Q244" s="19">
        <f t="shared" si="11"/>
        <v>1</v>
      </c>
    </row>
    <row r="245" spans="2:17" x14ac:dyDescent="0.2">
      <c r="B245" s="149">
        <v>50502042787</v>
      </c>
      <c r="C245" s="149" t="s">
        <v>462</v>
      </c>
      <c r="D245" s="150" t="s">
        <v>87</v>
      </c>
      <c r="E245" s="151">
        <v>4.4800000000000004</v>
      </c>
      <c r="F245" s="151">
        <v>6</v>
      </c>
      <c r="G245" s="151">
        <v>26.88</v>
      </c>
      <c r="H245" s="151">
        <v>6</v>
      </c>
      <c r="I245" s="151">
        <v>26.88</v>
      </c>
      <c r="J245" s="151">
        <v>0</v>
      </c>
      <c r="K245" s="151">
        <v>0</v>
      </c>
      <c r="L245" s="58">
        <f>IF(K245&gt;=0,K245,0)</f>
        <v>0</v>
      </c>
      <c r="M245" s="58">
        <f>IF(K245&lt;=0,K245,0)</f>
        <v>0</v>
      </c>
      <c r="N245" s="58">
        <f>L245+-M245</f>
        <v>0</v>
      </c>
      <c r="O245" s="19"/>
      <c r="P245" s="19">
        <f t="shared" si="10"/>
        <v>0</v>
      </c>
      <c r="Q245" s="19">
        <f t="shared" si="11"/>
        <v>1</v>
      </c>
    </row>
    <row r="246" spans="2:17" x14ac:dyDescent="0.2">
      <c r="B246" s="149">
        <v>10108040646</v>
      </c>
      <c r="C246" s="149" t="s">
        <v>205</v>
      </c>
      <c r="D246" s="150" t="s">
        <v>54</v>
      </c>
      <c r="E246" s="151">
        <v>30.826609999999999</v>
      </c>
      <c r="F246" s="151">
        <v>24</v>
      </c>
      <c r="G246" s="151">
        <v>739.83864000000005</v>
      </c>
      <c r="H246" s="151">
        <v>24</v>
      </c>
      <c r="I246" s="151">
        <v>739.83864000000005</v>
      </c>
      <c r="J246" s="151">
        <v>0</v>
      </c>
      <c r="K246" s="151">
        <v>0</v>
      </c>
      <c r="L246" s="58">
        <f>IF(K246&gt;=0,K246,0)</f>
        <v>0</v>
      </c>
      <c r="M246" s="58">
        <f>IF(K246&lt;=0,K246,0)</f>
        <v>0</v>
      </c>
      <c r="N246" s="58">
        <f>L246+-M246</f>
        <v>0</v>
      </c>
      <c r="O246" s="19"/>
      <c r="P246" s="19">
        <f t="shared" si="10"/>
        <v>0</v>
      </c>
      <c r="Q246" s="19">
        <f t="shared" si="11"/>
        <v>1</v>
      </c>
    </row>
    <row r="247" spans="2:17" x14ac:dyDescent="0.2">
      <c r="B247" s="149">
        <v>10208037855</v>
      </c>
      <c r="C247" s="149" t="s">
        <v>206</v>
      </c>
      <c r="D247" s="150" t="s">
        <v>54</v>
      </c>
      <c r="E247" s="151">
        <v>7.3514439999999999</v>
      </c>
      <c r="F247" s="151">
        <v>12</v>
      </c>
      <c r="G247" s="151">
        <v>88.217327999999995</v>
      </c>
      <c r="H247" s="151">
        <v>12</v>
      </c>
      <c r="I247" s="151">
        <v>88.217327999999995</v>
      </c>
      <c r="J247" s="151">
        <v>0</v>
      </c>
      <c r="K247" s="151">
        <v>0</v>
      </c>
      <c r="L247" s="58">
        <f>IF(K247&gt;=0,K247,0)</f>
        <v>0</v>
      </c>
      <c r="M247" s="58">
        <f>IF(K247&lt;=0,K247,0)</f>
        <v>0</v>
      </c>
      <c r="N247" s="58">
        <f>L247+-M247</f>
        <v>0</v>
      </c>
      <c r="O247" s="19"/>
      <c r="P247" s="19">
        <f t="shared" si="10"/>
        <v>0</v>
      </c>
      <c r="Q247" s="19">
        <f t="shared" si="11"/>
        <v>1</v>
      </c>
    </row>
    <row r="248" spans="2:17" x14ac:dyDescent="0.2">
      <c r="B248" s="149">
        <v>102020001</v>
      </c>
      <c r="C248" s="149" t="s">
        <v>117</v>
      </c>
      <c r="D248" s="150" t="s">
        <v>51</v>
      </c>
      <c r="E248" s="151">
        <v>4.5</v>
      </c>
      <c r="F248" s="151">
        <v>111.4</v>
      </c>
      <c r="G248" s="151">
        <v>501.3</v>
      </c>
      <c r="H248" s="151">
        <v>111.4</v>
      </c>
      <c r="I248" s="151">
        <v>501.3</v>
      </c>
      <c r="J248" s="151">
        <v>0</v>
      </c>
      <c r="K248" s="151">
        <v>0</v>
      </c>
      <c r="L248" s="58">
        <f>IF(K248&gt;=0,K248,0)</f>
        <v>0</v>
      </c>
      <c r="M248" s="58">
        <f>IF(K248&lt;=0,K248,0)</f>
        <v>0</v>
      </c>
      <c r="N248" s="58">
        <f>L248+-M248</f>
        <v>0</v>
      </c>
      <c r="O248" s="19"/>
      <c r="P248" s="19">
        <f t="shared" si="10"/>
        <v>0</v>
      </c>
      <c r="Q248" s="19">
        <f t="shared" si="11"/>
        <v>1</v>
      </c>
    </row>
    <row r="249" spans="2:17" x14ac:dyDescent="0.2">
      <c r="B249" s="149">
        <v>4010823002</v>
      </c>
      <c r="C249" s="149" t="s">
        <v>463</v>
      </c>
      <c r="D249" s="150" t="s">
        <v>51</v>
      </c>
      <c r="E249" s="151">
        <v>71.994</v>
      </c>
      <c r="F249" s="151">
        <v>4</v>
      </c>
      <c r="G249" s="151">
        <v>287.976</v>
      </c>
      <c r="H249" s="151">
        <v>4</v>
      </c>
      <c r="I249" s="151">
        <v>287.976</v>
      </c>
      <c r="J249" s="151">
        <v>0</v>
      </c>
      <c r="K249" s="151">
        <v>0</v>
      </c>
      <c r="L249" s="58">
        <f>IF(K249&gt;=0,K249,0)</f>
        <v>0</v>
      </c>
      <c r="M249" s="58">
        <f>IF(K249&lt;=0,K249,0)</f>
        <v>0</v>
      </c>
      <c r="N249" s="58">
        <f>L249+-M249</f>
        <v>0</v>
      </c>
      <c r="O249" s="19"/>
      <c r="P249" s="19">
        <f t="shared" si="10"/>
        <v>0</v>
      </c>
      <c r="Q249" s="19">
        <f t="shared" si="11"/>
        <v>1</v>
      </c>
    </row>
    <row r="250" spans="2:17" x14ac:dyDescent="0.2">
      <c r="B250" s="149">
        <v>1010624553</v>
      </c>
      <c r="C250" s="149" t="s">
        <v>423</v>
      </c>
      <c r="D250" s="150" t="s">
        <v>54</v>
      </c>
      <c r="E250" s="151">
        <v>109.03</v>
      </c>
      <c r="F250" s="151">
        <v>8</v>
      </c>
      <c r="G250" s="151">
        <v>872.24</v>
      </c>
      <c r="H250" s="151">
        <v>8</v>
      </c>
      <c r="I250" s="151">
        <v>872.24</v>
      </c>
      <c r="J250" s="151">
        <v>0</v>
      </c>
      <c r="K250" s="151">
        <v>0</v>
      </c>
      <c r="L250" s="58">
        <f>IF(K250&gt;=0,K250,0)</f>
        <v>0</v>
      </c>
      <c r="M250" s="58">
        <f>IF(K250&lt;=0,K250,0)</f>
        <v>0</v>
      </c>
      <c r="N250" s="58">
        <f>L250+-M250</f>
        <v>0</v>
      </c>
      <c r="O250" s="19"/>
      <c r="P250" s="19">
        <f t="shared" si="10"/>
        <v>0</v>
      </c>
      <c r="Q250" s="19">
        <f t="shared" si="11"/>
        <v>1</v>
      </c>
    </row>
    <row r="251" spans="2:17" x14ac:dyDescent="0.2">
      <c r="B251" s="149">
        <v>1010830406</v>
      </c>
      <c r="C251" s="149" t="s">
        <v>118</v>
      </c>
      <c r="D251" s="150" t="s">
        <v>54</v>
      </c>
      <c r="E251" s="151">
        <v>57.62</v>
      </c>
      <c r="F251" s="151">
        <v>14</v>
      </c>
      <c r="G251" s="151">
        <v>806.68</v>
      </c>
      <c r="H251" s="151">
        <v>14</v>
      </c>
      <c r="I251" s="151">
        <v>806.68</v>
      </c>
      <c r="J251" s="151">
        <v>0</v>
      </c>
      <c r="K251" s="151">
        <v>0</v>
      </c>
      <c r="L251" s="58">
        <f>IF(K251&gt;=0,K251,0)</f>
        <v>0</v>
      </c>
      <c r="M251" s="58">
        <f>IF(K251&lt;=0,K251,0)</f>
        <v>0</v>
      </c>
      <c r="N251" s="58">
        <f>L251+-M251</f>
        <v>0</v>
      </c>
      <c r="O251" s="19"/>
      <c r="P251" s="19">
        <f t="shared" si="10"/>
        <v>0</v>
      </c>
      <c r="Q251" s="19">
        <f>P251</f>
        <v>0</v>
      </c>
    </row>
    <row r="252" spans="2:17" x14ac:dyDescent="0.2">
      <c r="B252" s="149">
        <v>10108042278</v>
      </c>
      <c r="C252" s="149" t="s">
        <v>287</v>
      </c>
      <c r="D252" s="150" t="s">
        <v>54</v>
      </c>
      <c r="E252" s="151">
        <v>68.239999999999995</v>
      </c>
      <c r="F252" s="151">
        <v>35</v>
      </c>
      <c r="G252" s="152">
        <v>2388.4</v>
      </c>
      <c r="H252" s="151">
        <v>35</v>
      </c>
      <c r="I252" s="152">
        <v>2388.4</v>
      </c>
      <c r="J252" s="151">
        <v>0</v>
      </c>
      <c r="K252" s="151">
        <v>0</v>
      </c>
      <c r="L252" s="58">
        <f>IF(K252&gt;=0,K252,0)</f>
        <v>0</v>
      </c>
      <c r="M252" s="58">
        <f>IF(K252&lt;=0,K252,0)</f>
        <v>0</v>
      </c>
      <c r="N252" s="58">
        <f>L252+-M252</f>
        <v>0</v>
      </c>
      <c r="O252" s="19"/>
      <c r="P252" s="19">
        <f t="shared" si="10"/>
        <v>0</v>
      </c>
      <c r="Q252" s="19">
        <f t="shared" ref="Q252:Q315" si="12">P252+Q251</f>
        <v>0</v>
      </c>
    </row>
    <row r="253" spans="2:17" x14ac:dyDescent="0.2">
      <c r="B253" s="149">
        <v>5030127352</v>
      </c>
      <c r="C253" s="149" t="s">
        <v>119</v>
      </c>
      <c r="D253" s="150" t="s">
        <v>51</v>
      </c>
      <c r="E253" s="151">
        <v>4.8499999999999996</v>
      </c>
      <c r="F253" s="151">
        <v>204.48</v>
      </c>
      <c r="G253" s="151">
        <v>991.72799999999995</v>
      </c>
      <c r="H253" s="151">
        <v>204.48</v>
      </c>
      <c r="I253" s="151">
        <v>991.72799999999995</v>
      </c>
      <c r="J253" s="151">
        <v>0</v>
      </c>
      <c r="K253" s="151">
        <v>0</v>
      </c>
      <c r="L253" s="58">
        <f>IF(K253&gt;=0,K253,0)</f>
        <v>0</v>
      </c>
      <c r="M253" s="58">
        <f>IF(K253&lt;=0,K253,0)</f>
        <v>0</v>
      </c>
      <c r="N253" s="58">
        <f>L253+-M253</f>
        <v>0</v>
      </c>
      <c r="O253" s="19"/>
      <c r="P253" s="19">
        <f t="shared" si="10"/>
        <v>0</v>
      </c>
      <c r="Q253" s="19">
        <f t="shared" si="12"/>
        <v>0</v>
      </c>
    </row>
    <row r="254" spans="2:17" x14ac:dyDescent="0.2">
      <c r="B254" s="149">
        <v>101050506</v>
      </c>
      <c r="C254" s="149" t="s">
        <v>464</v>
      </c>
      <c r="D254" s="150" t="s">
        <v>54</v>
      </c>
      <c r="E254" s="151">
        <v>17.649999999999999</v>
      </c>
      <c r="F254" s="151">
        <v>14</v>
      </c>
      <c r="G254" s="151">
        <v>247.1</v>
      </c>
      <c r="H254" s="151">
        <v>14</v>
      </c>
      <c r="I254" s="151">
        <v>247.1</v>
      </c>
      <c r="J254" s="151">
        <v>0</v>
      </c>
      <c r="K254" s="151">
        <v>0</v>
      </c>
      <c r="L254" s="58">
        <f>IF(K254&gt;=0,K254,0)</f>
        <v>0</v>
      </c>
      <c r="M254" s="58">
        <f>IF(K254&lt;=0,K254,0)</f>
        <v>0</v>
      </c>
      <c r="N254" s="58">
        <f>L254+-M254</f>
        <v>0</v>
      </c>
      <c r="O254" s="19"/>
      <c r="P254" s="19">
        <f t="shared" si="10"/>
        <v>0</v>
      </c>
      <c r="Q254" s="19">
        <f t="shared" si="12"/>
        <v>0</v>
      </c>
    </row>
    <row r="255" spans="2:17" x14ac:dyDescent="0.2">
      <c r="B255" s="149">
        <v>40102042525</v>
      </c>
      <c r="C255" s="149" t="s">
        <v>332</v>
      </c>
      <c r="D255" s="150" t="s">
        <v>51</v>
      </c>
      <c r="E255" s="151">
        <v>6.4372600000000002</v>
      </c>
      <c r="F255" s="151">
        <v>107</v>
      </c>
      <c r="G255" s="151">
        <v>688.78682000000003</v>
      </c>
      <c r="H255" s="151">
        <v>107</v>
      </c>
      <c r="I255" s="151">
        <v>688.78682000000003</v>
      </c>
      <c r="J255" s="151">
        <v>0</v>
      </c>
      <c r="K255" s="151">
        <v>0</v>
      </c>
      <c r="L255" s="58">
        <f>IF(K255&gt;=0,K255,0)</f>
        <v>0</v>
      </c>
      <c r="M255" s="58">
        <f>IF(K255&lt;=0,K255,0)</f>
        <v>0</v>
      </c>
      <c r="N255" s="58">
        <f>L255+-M255</f>
        <v>0</v>
      </c>
      <c r="O255" s="19"/>
      <c r="P255" s="19">
        <f t="shared" si="10"/>
        <v>0</v>
      </c>
      <c r="Q255" s="19">
        <f t="shared" si="12"/>
        <v>0</v>
      </c>
    </row>
    <row r="256" spans="2:17" x14ac:dyDescent="0.2">
      <c r="B256" s="149">
        <v>50503043667</v>
      </c>
      <c r="C256" s="149" t="s">
        <v>366</v>
      </c>
      <c r="D256" s="150" t="s">
        <v>54</v>
      </c>
      <c r="E256" s="151">
        <v>6.57</v>
      </c>
      <c r="F256" s="151">
        <v>31</v>
      </c>
      <c r="G256" s="151">
        <v>203.67</v>
      </c>
      <c r="H256" s="151">
        <v>31</v>
      </c>
      <c r="I256" s="151">
        <v>203.67</v>
      </c>
      <c r="J256" s="151">
        <v>0</v>
      </c>
      <c r="K256" s="151">
        <v>0</v>
      </c>
      <c r="L256" s="58">
        <f>IF(K256&gt;=0,K256,0)</f>
        <v>0</v>
      </c>
      <c r="M256" s="58">
        <f>IF(K256&lt;=0,K256,0)</f>
        <v>0</v>
      </c>
      <c r="N256" s="58">
        <f>L256+-M256</f>
        <v>0</v>
      </c>
      <c r="O256" s="19"/>
      <c r="P256" s="19">
        <f t="shared" si="10"/>
        <v>0</v>
      </c>
      <c r="Q256" s="19">
        <f t="shared" si="12"/>
        <v>0</v>
      </c>
    </row>
    <row r="257" spans="2:17" x14ac:dyDescent="0.2">
      <c r="B257" s="149">
        <v>507039217</v>
      </c>
      <c r="C257" s="149" t="s">
        <v>288</v>
      </c>
      <c r="D257" s="150" t="s">
        <v>87</v>
      </c>
      <c r="E257" s="151">
        <v>86</v>
      </c>
      <c r="F257" s="151">
        <v>3</v>
      </c>
      <c r="G257" s="151">
        <v>258</v>
      </c>
      <c r="H257" s="151">
        <v>3</v>
      </c>
      <c r="I257" s="151">
        <v>258</v>
      </c>
      <c r="J257" s="151">
        <v>0</v>
      </c>
      <c r="K257" s="151">
        <v>0</v>
      </c>
      <c r="L257" s="58">
        <f>IF(K257&gt;=0,K257,0)</f>
        <v>0</v>
      </c>
      <c r="M257" s="58">
        <f>IF(K257&lt;=0,K257,0)</f>
        <v>0</v>
      </c>
      <c r="N257" s="58">
        <f>L257+-M257</f>
        <v>0</v>
      </c>
      <c r="O257" s="19"/>
      <c r="P257" s="19">
        <f t="shared" si="10"/>
        <v>0</v>
      </c>
      <c r="Q257" s="19">
        <f t="shared" si="12"/>
        <v>0</v>
      </c>
    </row>
    <row r="258" spans="2:17" x14ac:dyDescent="0.2">
      <c r="B258" s="149">
        <v>505040005</v>
      </c>
      <c r="C258" s="149" t="s">
        <v>465</v>
      </c>
      <c r="D258" s="150" t="s">
        <v>58</v>
      </c>
      <c r="E258" s="151">
        <v>0.38</v>
      </c>
      <c r="F258" s="152">
        <v>6024</v>
      </c>
      <c r="G258" s="152">
        <v>2289.12</v>
      </c>
      <c r="H258" s="152">
        <v>6024</v>
      </c>
      <c r="I258" s="152">
        <v>2289.12</v>
      </c>
      <c r="J258" s="151">
        <v>0</v>
      </c>
      <c r="K258" s="151">
        <v>0</v>
      </c>
      <c r="L258" s="58">
        <f>IF(K258&gt;=0,K258,0)</f>
        <v>0</v>
      </c>
      <c r="M258" s="58">
        <f>IF(K258&lt;=0,K258,0)</f>
        <v>0</v>
      </c>
      <c r="N258" s="58">
        <f>L258+-M258</f>
        <v>0</v>
      </c>
      <c r="O258" s="19"/>
      <c r="P258" s="19">
        <f t="shared" si="10"/>
        <v>0</v>
      </c>
      <c r="Q258" s="19">
        <f t="shared" si="12"/>
        <v>0</v>
      </c>
    </row>
    <row r="259" spans="2:17" x14ac:dyDescent="0.2">
      <c r="B259" s="149">
        <v>5050422048</v>
      </c>
      <c r="C259" s="149" t="s">
        <v>120</v>
      </c>
      <c r="D259" s="150" t="s">
        <v>58</v>
      </c>
      <c r="E259" s="151">
        <v>0.45</v>
      </c>
      <c r="F259" s="152">
        <v>3672</v>
      </c>
      <c r="G259" s="152">
        <v>1652.4</v>
      </c>
      <c r="H259" s="152">
        <v>3672</v>
      </c>
      <c r="I259" s="152">
        <v>1652.4</v>
      </c>
      <c r="J259" s="151">
        <v>0</v>
      </c>
      <c r="K259" s="151">
        <v>0</v>
      </c>
      <c r="L259" s="58">
        <f>IF(K259&gt;=0,K259,0)</f>
        <v>0</v>
      </c>
      <c r="M259" s="58">
        <f>IF(K259&lt;=0,K259,0)</f>
        <v>0</v>
      </c>
      <c r="N259" s="58">
        <f>L259+-M259</f>
        <v>0</v>
      </c>
      <c r="O259" s="19"/>
      <c r="P259" s="19">
        <f t="shared" si="10"/>
        <v>0</v>
      </c>
      <c r="Q259" s="19">
        <f t="shared" si="12"/>
        <v>0</v>
      </c>
    </row>
    <row r="260" spans="2:17" x14ac:dyDescent="0.2">
      <c r="B260" s="149">
        <v>102020005</v>
      </c>
      <c r="C260" s="149" t="s">
        <v>229</v>
      </c>
      <c r="D260" s="150" t="s">
        <v>51</v>
      </c>
      <c r="E260" s="151">
        <v>7.79</v>
      </c>
      <c r="F260" s="151">
        <v>214.14</v>
      </c>
      <c r="G260" s="152">
        <v>1668.1505999999999</v>
      </c>
      <c r="H260" s="151">
        <v>214.14</v>
      </c>
      <c r="I260" s="152">
        <v>1668.1505999999999</v>
      </c>
      <c r="J260" s="151">
        <v>0</v>
      </c>
      <c r="K260" s="151">
        <v>0</v>
      </c>
      <c r="L260" s="58">
        <f>IF(K260&gt;=0,K260,0)</f>
        <v>0</v>
      </c>
      <c r="M260" s="58">
        <f>IF(K260&lt;=0,K260,0)</f>
        <v>0</v>
      </c>
      <c r="N260" s="58">
        <f>L260+-M260</f>
        <v>0</v>
      </c>
      <c r="O260" s="19"/>
      <c r="P260" s="19">
        <f t="shared" si="10"/>
        <v>0</v>
      </c>
      <c r="Q260" s="19">
        <f t="shared" si="12"/>
        <v>0</v>
      </c>
    </row>
    <row r="261" spans="2:17" x14ac:dyDescent="0.2">
      <c r="B261" s="149">
        <v>50505043380</v>
      </c>
      <c r="C261" s="149" t="s">
        <v>424</v>
      </c>
      <c r="D261" s="150" t="s">
        <v>74</v>
      </c>
      <c r="E261" s="151">
        <v>29.65</v>
      </c>
      <c r="F261" s="151">
        <v>43</v>
      </c>
      <c r="G261" s="152">
        <v>1274.95</v>
      </c>
      <c r="H261" s="151">
        <v>43</v>
      </c>
      <c r="I261" s="152">
        <v>1274.95</v>
      </c>
      <c r="J261" s="151">
        <v>0</v>
      </c>
      <c r="K261" s="151">
        <v>0</v>
      </c>
      <c r="L261" s="58">
        <f>IF(K261&gt;=0,K261,0)</f>
        <v>0</v>
      </c>
      <c r="M261" s="58">
        <f>IF(K261&lt;=0,K261,0)</f>
        <v>0</v>
      </c>
      <c r="N261" s="58">
        <f>L261+-M261</f>
        <v>0</v>
      </c>
      <c r="O261" s="19"/>
      <c r="P261" s="19">
        <f t="shared" si="10"/>
        <v>0</v>
      </c>
      <c r="Q261" s="19">
        <f t="shared" si="12"/>
        <v>0</v>
      </c>
    </row>
    <row r="262" spans="2:17" x14ac:dyDescent="0.2">
      <c r="B262" s="149">
        <v>6040336212</v>
      </c>
      <c r="C262" s="149" t="s">
        <v>122</v>
      </c>
      <c r="D262" s="150" t="s">
        <v>65</v>
      </c>
      <c r="E262" s="151">
        <v>5.7</v>
      </c>
      <c r="F262" s="151">
        <v>37</v>
      </c>
      <c r="G262" s="151">
        <v>210.9</v>
      </c>
      <c r="H262" s="151">
        <v>37</v>
      </c>
      <c r="I262" s="151">
        <v>210.9</v>
      </c>
      <c r="J262" s="151">
        <v>0</v>
      </c>
      <c r="K262" s="151">
        <v>0</v>
      </c>
      <c r="L262" s="58">
        <f>IF(K262&gt;=0,K262,0)</f>
        <v>0</v>
      </c>
      <c r="M262" s="58">
        <f>IF(K262&lt;=0,K262,0)</f>
        <v>0</v>
      </c>
      <c r="N262" s="58">
        <f>L262+-M262</f>
        <v>0</v>
      </c>
      <c r="O262" s="19"/>
      <c r="P262" s="19">
        <f t="shared" si="10"/>
        <v>0</v>
      </c>
      <c r="Q262" s="19">
        <f t="shared" si="12"/>
        <v>0</v>
      </c>
    </row>
    <row r="263" spans="2:17" x14ac:dyDescent="0.2">
      <c r="B263" s="149">
        <v>6040335100</v>
      </c>
      <c r="C263" s="149" t="s">
        <v>289</v>
      </c>
      <c r="D263" s="150" t="s">
        <v>87</v>
      </c>
      <c r="E263" s="151">
        <v>10</v>
      </c>
      <c r="F263" s="151">
        <v>5</v>
      </c>
      <c r="G263" s="151">
        <v>50</v>
      </c>
      <c r="H263" s="151">
        <v>5</v>
      </c>
      <c r="I263" s="151">
        <v>50</v>
      </c>
      <c r="J263" s="151">
        <v>0</v>
      </c>
      <c r="K263" s="151">
        <v>0</v>
      </c>
      <c r="L263" s="58">
        <f>IF(K263&gt;=0,K263,0)</f>
        <v>0</v>
      </c>
      <c r="M263" s="58">
        <f>IF(K263&lt;=0,K263,0)</f>
        <v>0</v>
      </c>
      <c r="N263" s="58">
        <f>L263+-M263</f>
        <v>0</v>
      </c>
      <c r="O263" s="19"/>
      <c r="P263" s="19">
        <f t="shared" ref="P263:P326" si="13">N263/$N$1055</f>
        <v>0</v>
      </c>
      <c r="Q263" s="19">
        <f t="shared" si="12"/>
        <v>0</v>
      </c>
    </row>
    <row r="264" spans="2:17" x14ac:dyDescent="0.2">
      <c r="B264" s="149">
        <v>10211039170</v>
      </c>
      <c r="C264" s="149" t="s">
        <v>123</v>
      </c>
      <c r="D264" s="150" t="s">
        <v>54</v>
      </c>
      <c r="E264" s="151">
        <v>34.58</v>
      </c>
      <c r="F264" s="151">
        <v>13</v>
      </c>
      <c r="G264" s="151">
        <v>449.54</v>
      </c>
      <c r="H264" s="151">
        <v>13</v>
      </c>
      <c r="I264" s="151">
        <v>449.54</v>
      </c>
      <c r="J264" s="151">
        <v>0</v>
      </c>
      <c r="K264" s="151">
        <v>0</v>
      </c>
      <c r="L264" s="58">
        <f>IF(K264&gt;=0,K264,0)</f>
        <v>0</v>
      </c>
      <c r="M264" s="58">
        <f>IF(K264&lt;=0,K264,0)</f>
        <v>0</v>
      </c>
      <c r="N264" s="58">
        <f>L264+-M264</f>
        <v>0</v>
      </c>
      <c r="O264" s="19"/>
      <c r="P264" s="19">
        <f t="shared" si="13"/>
        <v>0</v>
      </c>
      <c r="Q264" s="19">
        <f t="shared" si="12"/>
        <v>0</v>
      </c>
    </row>
    <row r="265" spans="2:17" x14ac:dyDescent="0.2">
      <c r="B265" s="149">
        <v>1020927947</v>
      </c>
      <c r="C265" s="149" t="s">
        <v>124</v>
      </c>
      <c r="D265" s="150" t="s">
        <v>89</v>
      </c>
      <c r="E265" s="151">
        <v>0.127</v>
      </c>
      <c r="F265" s="152">
        <v>4788</v>
      </c>
      <c r="G265" s="151">
        <v>608.07600000000002</v>
      </c>
      <c r="H265" s="152">
        <v>4788</v>
      </c>
      <c r="I265" s="151">
        <v>608.07600000000002</v>
      </c>
      <c r="J265" s="151">
        <v>0</v>
      </c>
      <c r="K265" s="151">
        <v>0</v>
      </c>
      <c r="L265" s="58">
        <f>IF(K265&gt;=0,K265,0)</f>
        <v>0</v>
      </c>
      <c r="M265" s="58">
        <f>IF(K265&lt;=0,K265,0)</f>
        <v>0</v>
      </c>
      <c r="N265" s="58">
        <f>L265+-M265</f>
        <v>0</v>
      </c>
      <c r="O265" s="19"/>
      <c r="P265" s="19">
        <f t="shared" si="13"/>
        <v>0</v>
      </c>
      <c r="Q265" s="19">
        <f t="shared" si="12"/>
        <v>0</v>
      </c>
    </row>
    <row r="266" spans="2:17" x14ac:dyDescent="0.2">
      <c r="B266" s="149">
        <v>1020827989</v>
      </c>
      <c r="C266" s="149" t="s">
        <v>261</v>
      </c>
      <c r="D266" s="150" t="s">
        <v>54</v>
      </c>
      <c r="E266" s="151">
        <v>26.79</v>
      </c>
      <c r="F266" s="151">
        <v>5</v>
      </c>
      <c r="G266" s="151">
        <v>133.94999999999999</v>
      </c>
      <c r="H266" s="151">
        <v>5</v>
      </c>
      <c r="I266" s="151">
        <v>133.94999999999999</v>
      </c>
      <c r="J266" s="151">
        <v>0</v>
      </c>
      <c r="K266" s="151">
        <v>0</v>
      </c>
      <c r="L266" s="58">
        <f>IF(K266&gt;=0,K266,0)</f>
        <v>0</v>
      </c>
      <c r="M266" s="58">
        <f>IF(K266&lt;=0,K266,0)</f>
        <v>0</v>
      </c>
      <c r="N266" s="58">
        <f>L266+-M266</f>
        <v>0</v>
      </c>
      <c r="O266" s="19"/>
      <c r="P266" s="19">
        <f t="shared" si="13"/>
        <v>0</v>
      </c>
      <c r="Q266" s="19">
        <f t="shared" si="12"/>
        <v>0</v>
      </c>
    </row>
    <row r="267" spans="2:17" x14ac:dyDescent="0.2">
      <c r="B267" s="149">
        <v>102020028</v>
      </c>
      <c r="C267" s="149" t="s">
        <v>125</v>
      </c>
      <c r="D267" s="150" t="s">
        <v>51</v>
      </c>
      <c r="E267" s="151">
        <v>6.5</v>
      </c>
      <c r="F267" s="151">
        <v>20</v>
      </c>
      <c r="G267" s="151">
        <v>130</v>
      </c>
      <c r="H267" s="151">
        <v>20</v>
      </c>
      <c r="I267" s="151">
        <v>130</v>
      </c>
      <c r="J267" s="151">
        <v>0</v>
      </c>
      <c r="K267" s="151">
        <v>0</v>
      </c>
      <c r="L267" s="58">
        <f>IF(K267&gt;=0,K267,0)</f>
        <v>0</v>
      </c>
      <c r="M267" s="58">
        <f>IF(K267&lt;=0,K267,0)</f>
        <v>0</v>
      </c>
      <c r="N267" s="58">
        <f>L267+-M267</f>
        <v>0</v>
      </c>
      <c r="O267" s="19"/>
      <c r="P267" s="19">
        <f t="shared" si="13"/>
        <v>0</v>
      </c>
      <c r="Q267" s="19">
        <f t="shared" si="12"/>
        <v>0</v>
      </c>
    </row>
    <row r="268" spans="2:17" x14ac:dyDescent="0.2">
      <c r="B268" s="149">
        <v>10201040826</v>
      </c>
      <c r="C268" s="149" t="s">
        <v>392</v>
      </c>
      <c r="D268" s="150" t="s">
        <v>89</v>
      </c>
      <c r="E268" s="151">
        <v>6.89</v>
      </c>
      <c r="F268" s="151">
        <v>17</v>
      </c>
      <c r="G268" s="151">
        <v>117.13</v>
      </c>
      <c r="H268" s="151">
        <v>17</v>
      </c>
      <c r="I268" s="151">
        <v>117.13</v>
      </c>
      <c r="J268" s="151">
        <v>0</v>
      </c>
      <c r="K268" s="151">
        <v>0</v>
      </c>
      <c r="L268" s="58">
        <f>IF(K268&gt;=0,K268,0)</f>
        <v>0</v>
      </c>
      <c r="M268" s="58">
        <f>IF(K268&lt;=0,K268,0)</f>
        <v>0</v>
      </c>
      <c r="N268" s="58">
        <f>L268+-M268</f>
        <v>0</v>
      </c>
      <c r="O268" s="19"/>
      <c r="P268" s="19">
        <f t="shared" si="13"/>
        <v>0</v>
      </c>
      <c r="Q268" s="19">
        <f t="shared" si="12"/>
        <v>0</v>
      </c>
    </row>
    <row r="269" spans="2:17" x14ac:dyDescent="0.2">
      <c r="B269" s="149">
        <v>4030232902</v>
      </c>
      <c r="C269" s="149" t="s">
        <v>367</v>
      </c>
      <c r="D269" s="150" t="s">
        <v>51</v>
      </c>
      <c r="E269" s="151">
        <v>5.9635949999999998</v>
      </c>
      <c r="F269" s="151">
        <v>320</v>
      </c>
      <c r="G269" s="152">
        <v>1908.3504</v>
      </c>
      <c r="H269" s="151">
        <v>320</v>
      </c>
      <c r="I269" s="152">
        <v>1908.3504</v>
      </c>
      <c r="J269" s="151">
        <v>0</v>
      </c>
      <c r="K269" s="151">
        <v>0</v>
      </c>
      <c r="L269" s="58">
        <f>IF(K269&gt;=0,K269,0)</f>
        <v>0</v>
      </c>
      <c r="M269" s="58">
        <f>IF(K269&lt;=0,K269,0)</f>
        <v>0</v>
      </c>
      <c r="N269" s="58">
        <f>L269+-M269</f>
        <v>0</v>
      </c>
      <c r="O269" s="19"/>
      <c r="P269" s="19">
        <f t="shared" si="13"/>
        <v>0</v>
      </c>
      <c r="Q269" s="19">
        <f t="shared" si="12"/>
        <v>0</v>
      </c>
    </row>
    <row r="270" spans="2:17" x14ac:dyDescent="0.2">
      <c r="B270" s="149">
        <v>606038263</v>
      </c>
      <c r="C270" s="149" t="s">
        <v>128</v>
      </c>
      <c r="D270" s="150" t="s">
        <v>65</v>
      </c>
      <c r="E270" s="151">
        <v>8.4749999999999996</v>
      </c>
      <c r="F270" s="151">
        <v>10</v>
      </c>
      <c r="G270" s="151">
        <v>84.75</v>
      </c>
      <c r="H270" s="151">
        <v>10</v>
      </c>
      <c r="I270" s="151">
        <v>84.75</v>
      </c>
      <c r="J270" s="151">
        <v>0</v>
      </c>
      <c r="K270" s="151">
        <v>0</v>
      </c>
      <c r="L270" s="58">
        <f>IF(K270&gt;=0,K270,0)</f>
        <v>0</v>
      </c>
      <c r="M270" s="58">
        <f>IF(K270&lt;=0,K270,0)</f>
        <v>0</v>
      </c>
      <c r="N270" s="58">
        <f>L270+-M270</f>
        <v>0</v>
      </c>
      <c r="O270" s="19"/>
      <c r="P270" s="19">
        <f t="shared" si="13"/>
        <v>0</v>
      </c>
      <c r="Q270" s="19">
        <f t="shared" si="12"/>
        <v>0</v>
      </c>
    </row>
    <row r="271" spans="2:17" x14ac:dyDescent="0.2">
      <c r="B271" s="149">
        <v>1010830395</v>
      </c>
      <c r="C271" s="149" t="s">
        <v>466</v>
      </c>
      <c r="D271" s="150" t="s">
        <v>54</v>
      </c>
      <c r="E271" s="151">
        <v>29.3</v>
      </c>
      <c r="F271" s="151">
        <v>10</v>
      </c>
      <c r="G271" s="151">
        <v>293</v>
      </c>
      <c r="H271" s="151">
        <v>10</v>
      </c>
      <c r="I271" s="151">
        <v>293</v>
      </c>
      <c r="J271" s="151">
        <v>0</v>
      </c>
      <c r="K271" s="151">
        <v>0</v>
      </c>
      <c r="L271" s="58">
        <f>IF(K271&gt;=0,K271,0)</f>
        <v>0</v>
      </c>
      <c r="M271" s="58">
        <f>IF(K271&lt;=0,K271,0)</f>
        <v>0</v>
      </c>
      <c r="N271" s="58">
        <f>L271+-M271</f>
        <v>0</v>
      </c>
      <c r="O271" s="19"/>
      <c r="P271" s="19">
        <f t="shared" si="13"/>
        <v>0</v>
      </c>
      <c r="Q271" s="19">
        <f t="shared" si="12"/>
        <v>0</v>
      </c>
    </row>
    <row r="272" spans="2:17" x14ac:dyDescent="0.2">
      <c r="B272" s="149">
        <v>1020927977</v>
      </c>
      <c r="C272" s="149" t="s">
        <v>182</v>
      </c>
      <c r="D272" s="150" t="s">
        <v>89</v>
      </c>
      <c r="E272" s="151">
        <v>7.9093999999999998E-2</v>
      </c>
      <c r="F272" s="152">
        <v>2520</v>
      </c>
      <c r="G272" s="151">
        <v>199.31688</v>
      </c>
      <c r="H272" s="152">
        <v>2520</v>
      </c>
      <c r="I272" s="151">
        <v>199.31688</v>
      </c>
      <c r="J272" s="151">
        <v>0</v>
      </c>
      <c r="K272" s="151">
        <v>0</v>
      </c>
      <c r="L272" s="58">
        <f>IF(K272&gt;=0,K272,0)</f>
        <v>0</v>
      </c>
      <c r="M272" s="58">
        <f>IF(K272&lt;=0,K272,0)</f>
        <v>0</v>
      </c>
      <c r="N272" s="58">
        <f>L272+-M272</f>
        <v>0</v>
      </c>
      <c r="O272" s="19"/>
      <c r="P272" s="19">
        <f t="shared" si="13"/>
        <v>0</v>
      </c>
      <c r="Q272" s="19">
        <f t="shared" si="12"/>
        <v>0</v>
      </c>
    </row>
    <row r="273" spans="2:17" x14ac:dyDescent="0.2">
      <c r="B273" s="149">
        <v>102020012</v>
      </c>
      <c r="C273" s="149" t="s">
        <v>131</v>
      </c>
      <c r="D273" s="150" t="s">
        <v>51</v>
      </c>
      <c r="E273" s="151">
        <v>2.77</v>
      </c>
      <c r="F273" s="151">
        <v>254.7</v>
      </c>
      <c r="G273" s="151">
        <v>705.51900000000001</v>
      </c>
      <c r="H273" s="151">
        <v>254.7</v>
      </c>
      <c r="I273" s="151">
        <v>705.51900000000001</v>
      </c>
      <c r="J273" s="151">
        <v>0</v>
      </c>
      <c r="K273" s="151">
        <v>0</v>
      </c>
      <c r="L273" s="58">
        <f>IF(K273&gt;=0,K273,0)</f>
        <v>0</v>
      </c>
      <c r="M273" s="58">
        <f>IF(K273&lt;=0,K273,0)</f>
        <v>0</v>
      </c>
      <c r="N273" s="58">
        <f>L273+-M273</f>
        <v>0</v>
      </c>
      <c r="O273" s="19"/>
      <c r="P273" s="19">
        <f t="shared" si="13"/>
        <v>0</v>
      </c>
      <c r="Q273" s="19">
        <f t="shared" si="12"/>
        <v>0</v>
      </c>
    </row>
    <row r="274" spans="2:17" x14ac:dyDescent="0.2">
      <c r="B274" s="149">
        <v>1020532101</v>
      </c>
      <c r="C274" s="149" t="s">
        <v>425</v>
      </c>
      <c r="D274" s="150" t="s">
        <v>54</v>
      </c>
      <c r="E274" s="151">
        <v>58</v>
      </c>
      <c r="F274" s="151">
        <v>1</v>
      </c>
      <c r="G274" s="151">
        <v>58</v>
      </c>
      <c r="H274" s="151">
        <v>1</v>
      </c>
      <c r="I274" s="151">
        <v>58</v>
      </c>
      <c r="J274" s="151">
        <v>0</v>
      </c>
      <c r="K274" s="151">
        <v>0</v>
      </c>
      <c r="L274" s="58">
        <f>IF(K274&gt;=0,K274,0)</f>
        <v>0</v>
      </c>
      <c r="M274" s="58">
        <f>IF(K274&lt;=0,K274,0)</f>
        <v>0</v>
      </c>
      <c r="N274" s="58">
        <f>L274+-M274</f>
        <v>0</v>
      </c>
      <c r="O274" s="19"/>
      <c r="P274" s="19">
        <f t="shared" si="13"/>
        <v>0</v>
      </c>
      <c r="Q274" s="19">
        <f t="shared" si="12"/>
        <v>0</v>
      </c>
    </row>
    <row r="275" spans="2:17" x14ac:dyDescent="0.2">
      <c r="B275" s="149">
        <v>102010080</v>
      </c>
      <c r="C275" s="149" t="s">
        <v>467</v>
      </c>
      <c r="D275" s="150" t="s">
        <v>51</v>
      </c>
      <c r="E275" s="151">
        <v>8.5</v>
      </c>
      <c r="F275" s="151">
        <v>66</v>
      </c>
      <c r="G275" s="151">
        <v>561</v>
      </c>
      <c r="H275" s="151">
        <v>66</v>
      </c>
      <c r="I275" s="151">
        <v>561</v>
      </c>
      <c r="J275" s="151">
        <v>0</v>
      </c>
      <c r="K275" s="151">
        <v>0</v>
      </c>
      <c r="L275" s="58">
        <f>IF(K275&gt;=0,K275,0)</f>
        <v>0</v>
      </c>
      <c r="M275" s="58">
        <f>IF(K275&lt;=0,K275,0)</f>
        <v>0</v>
      </c>
      <c r="N275" s="58">
        <f>L275+-M275</f>
        <v>0</v>
      </c>
      <c r="O275" s="19"/>
      <c r="P275" s="19">
        <f t="shared" si="13"/>
        <v>0</v>
      </c>
      <c r="Q275" s="19">
        <f t="shared" si="12"/>
        <v>0</v>
      </c>
    </row>
    <row r="276" spans="2:17" x14ac:dyDescent="0.2">
      <c r="B276" s="149">
        <v>1020530591</v>
      </c>
      <c r="C276" s="149" t="s">
        <v>132</v>
      </c>
      <c r="D276" s="150" t="s">
        <v>54</v>
      </c>
      <c r="E276" s="151">
        <v>18.499866999999998</v>
      </c>
      <c r="F276" s="151">
        <v>3</v>
      </c>
      <c r="G276" s="151">
        <v>55.499600999999998</v>
      </c>
      <c r="H276" s="151">
        <v>3</v>
      </c>
      <c r="I276" s="151">
        <v>55.499600999999998</v>
      </c>
      <c r="J276" s="151">
        <v>0</v>
      </c>
      <c r="K276" s="151">
        <v>0</v>
      </c>
      <c r="L276" s="58">
        <f>IF(K276&gt;=0,K276,0)</f>
        <v>0</v>
      </c>
      <c r="M276" s="58">
        <f>IF(K276&lt;=0,K276,0)</f>
        <v>0</v>
      </c>
      <c r="N276" s="58">
        <f>L276+-M276</f>
        <v>0</v>
      </c>
      <c r="O276" s="19"/>
      <c r="P276" s="19">
        <f t="shared" si="13"/>
        <v>0</v>
      </c>
      <c r="Q276" s="19">
        <f t="shared" si="12"/>
        <v>0</v>
      </c>
    </row>
    <row r="277" spans="2:17" x14ac:dyDescent="0.2">
      <c r="B277" s="149">
        <v>60632910</v>
      </c>
      <c r="C277" s="149" t="s">
        <v>133</v>
      </c>
      <c r="D277" s="150" t="s">
        <v>65</v>
      </c>
      <c r="E277" s="151">
        <v>2.39</v>
      </c>
      <c r="F277" s="151">
        <v>27</v>
      </c>
      <c r="G277" s="151">
        <v>64.53</v>
      </c>
      <c r="H277" s="151">
        <v>27</v>
      </c>
      <c r="I277" s="151">
        <v>64.53</v>
      </c>
      <c r="J277" s="151">
        <v>0</v>
      </c>
      <c r="K277" s="151">
        <v>0</v>
      </c>
      <c r="L277" s="58">
        <f>IF(K277&gt;=0,K277,0)</f>
        <v>0</v>
      </c>
      <c r="M277" s="58">
        <f>IF(K277&lt;=0,K277,0)</f>
        <v>0</v>
      </c>
      <c r="N277" s="58">
        <f>L277+-M277</f>
        <v>0</v>
      </c>
      <c r="O277" s="19"/>
      <c r="P277" s="19">
        <f t="shared" si="13"/>
        <v>0</v>
      </c>
      <c r="Q277" s="19">
        <f t="shared" si="12"/>
        <v>0</v>
      </c>
    </row>
    <row r="278" spans="2:17" x14ac:dyDescent="0.2">
      <c r="B278" s="149">
        <v>60637173</v>
      </c>
      <c r="C278" s="149" t="s">
        <v>368</v>
      </c>
      <c r="D278" s="150" t="s">
        <v>65</v>
      </c>
      <c r="E278" s="151">
        <v>33</v>
      </c>
      <c r="F278" s="151">
        <v>1</v>
      </c>
      <c r="G278" s="151">
        <v>33</v>
      </c>
      <c r="H278" s="151">
        <v>1</v>
      </c>
      <c r="I278" s="151">
        <v>33</v>
      </c>
      <c r="J278" s="151">
        <v>0</v>
      </c>
      <c r="K278" s="151">
        <v>0</v>
      </c>
      <c r="L278" s="58">
        <f>IF(K278&gt;=0,K278,0)</f>
        <v>0</v>
      </c>
      <c r="M278" s="58">
        <f>IF(K278&lt;=0,K278,0)</f>
        <v>0</v>
      </c>
      <c r="N278" s="58">
        <f>L278+-M278</f>
        <v>0</v>
      </c>
      <c r="O278" s="19"/>
      <c r="P278" s="19">
        <f t="shared" si="13"/>
        <v>0</v>
      </c>
      <c r="Q278" s="19">
        <f t="shared" si="12"/>
        <v>0</v>
      </c>
    </row>
    <row r="279" spans="2:17" x14ac:dyDescent="0.2">
      <c r="B279" s="149">
        <v>10108041820</v>
      </c>
      <c r="C279" s="149" t="s">
        <v>262</v>
      </c>
      <c r="D279" s="150" t="s">
        <v>54</v>
      </c>
      <c r="E279" s="151">
        <v>54.570712999999998</v>
      </c>
      <c r="F279" s="151">
        <v>13</v>
      </c>
      <c r="G279" s="151">
        <v>709.41926899999999</v>
      </c>
      <c r="H279" s="151">
        <v>13</v>
      </c>
      <c r="I279" s="151">
        <v>709.41926899999999</v>
      </c>
      <c r="J279" s="151">
        <v>0</v>
      </c>
      <c r="K279" s="151">
        <v>0</v>
      </c>
      <c r="L279" s="58">
        <f>IF(K279&gt;=0,K279,0)</f>
        <v>0</v>
      </c>
      <c r="M279" s="58">
        <f>IF(K279&lt;=0,K279,0)</f>
        <v>0</v>
      </c>
      <c r="N279" s="58">
        <f>L279+-M279</f>
        <v>0</v>
      </c>
      <c r="O279" s="19"/>
      <c r="P279" s="19">
        <f t="shared" si="13"/>
        <v>0</v>
      </c>
      <c r="Q279" s="19">
        <f t="shared" si="12"/>
        <v>0</v>
      </c>
    </row>
    <row r="280" spans="2:17" x14ac:dyDescent="0.2">
      <c r="B280" s="149">
        <v>3030162</v>
      </c>
      <c r="C280" s="149" t="s">
        <v>134</v>
      </c>
      <c r="D280" s="150" t="s">
        <v>58</v>
      </c>
      <c r="E280" s="151">
        <v>56.2</v>
      </c>
      <c r="F280" s="151">
        <v>2</v>
      </c>
      <c r="G280" s="151">
        <v>112.4</v>
      </c>
      <c r="H280" s="151">
        <v>2</v>
      </c>
      <c r="I280" s="151">
        <v>112.4</v>
      </c>
      <c r="J280" s="151">
        <v>0</v>
      </c>
      <c r="K280" s="151">
        <v>0</v>
      </c>
      <c r="L280" s="58">
        <f>IF(K280&gt;=0,K280,0)</f>
        <v>0</v>
      </c>
      <c r="M280" s="58">
        <f>IF(K280&lt;=0,K280,0)</f>
        <v>0</v>
      </c>
      <c r="N280" s="58">
        <f>L280+-M280</f>
        <v>0</v>
      </c>
      <c r="O280" s="19"/>
      <c r="P280" s="19">
        <f t="shared" si="13"/>
        <v>0</v>
      </c>
      <c r="Q280" s="19">
        <f t="shared" si="12"/>
        <v>0</v>
      </c>
    </row>
    <row r="281" spans="2:17" x14ac:dyDescent="0.2">
      <c r="B281" s="149">
        <v>102010172</v>
      </c>
      <c r="C281" s="149" t="s">
        <v>135</v>
      </c>
      <c r="D281" s="150" t="s">
        <v>51</v>
      </c>
      <c r="E281" s="151">
        <v>10</v>
      </c>
      <c r="F281" s="151">
        <v>42.5</v>
      </c>
      <c r="G281" s="151">
        <v>425</v>
      </c>
      <c r="H281" s="151">
        <v>42.5</v>
      </c>
      <c r="I281" s="151">
        <v>425</v>
      </c>
      <c r="J281" s="151">
        <v>0</v>
      </c>
      <c r="K281" s="151">
        <v>0</v>
      </c>
      <c r="L281" s="58">
        <f>IF(K281&gt;=0,K281,0)</f>
        <v>0</v>
      </c>
      <c r="M281" s="58">
        <f>IF(K281&lt;=0,K281,0)</f>
        <v>0</v>
      </c>
      <c r="N281" s="58">
        <f>L281+-M281</f>
        <v>0</v>
      </c>
      <c r="O281" s="19"/>
      <c r="P281" s="19">
        <f t="shared" si="13"/>
        <v>0</v>
      </c>
      <c r="Q281" s="19">
        <f t="shared" si="12"/>
        <v>0</v>
      </c>
    </row>
    <row r="282" spans="2:17" x14ac:dyDescent="0.2">
      <c r="B282" s="149">
        <v>10206042025</v>
      </c>
      <c r="C282" s="149" t="s">
        <v>426</v>
      </c>
      <c r="D282" s="150" t="s">
        <v>54</v>
      </c>
      <c r="E282" s="151">
        <v>10.23</v>
      </c>
      <c r="F282" s="151">
        <v>3</v>
      </c>
      <c r="G282" s="151">
        <v>30.69</v>
      </c>
      <c r="H282" s="151">
        <v>3</v>
      </c>
      <c r="I282" s="151">
        <v>30.69</v>
      </c>
      <c r="J282" s="151">
        <v>0</v>
      </c>
      <c r="K282" s="151">
        <v>0</v>
      </c>
      <c r="L282" s="58">
        <f>IF(K282&gt;=0,K282,0)</f>
        <v>0</v>
      </c>
      <c r="M282" s="58">
        <f>IF(K282&lt;=0,K282,0)</f>
        <v>0</v>
      </c>
      <c r="N282" s="58">
        <f>L282+-M282</f>
        <v>0</v>
      </c>
      <c r="O282" s="19"/>
      <c r="P282" s="19">
        <f t="shared" si="13"/>
        <v>0</v>
      </c>
      <c r="Q282" s="19">
        <f t="shared" si="12"/>
        <v>0</v>
      </c>
    </row>
    <row r="283" spans="2:17" x14ac:dyDescent="0.2">
      <c r="B283" s="149">
        <v>4010230946</v>
      </c>
      <c r="C283" s="149" t="s">
        <v>468</v>
      </c>
      <c r="D283" s="150" t="s">
        <v>51</v>
      </c>
      <c r="E283" s="151">
        <v>18.100000000000001</v>
      </c>
      <c r="F283" s="151">
        <v>16.149999999999999</v>
      </c>
      <c r="G283" s="151">
        <v>292.315</v>
      </c>
      <c r="H283" s="151">
        <v>16.149999999999999</v>
      </c>
      <c r="I283" s="151">
        <v>292.315</v>
      </c>
      <c r="J283" s="151">
        <v>0</v>
      </c>
      <c r="K283" s="151">
        <v>0</v>
      </c>
      <c r="L283" s="58">
        <f>IF(K283&gt;=0,K283,0)</f>
        <v>0</v>
      </c>
      <c r="M283" s="58">
        <f>IF(K283&lt;=0,K283,0)</f>
        <v>0</v>
      </c>
      <c r="N283" s="58">
        <f>L283+-M283</f>
        <v>0</v>
      </c>
      <c r="O283" s="19"/>
      <c r="P283" s="19">
        <f t="shared" si="13"/>
        <v>0</v>
      </c>
      <c r="Q283" s="19">
        <f t="shared" si="12"/>
        <v>0</v>
      </c>
    </row>
    <row r="284" spans="2:17" x14ac:dyDescent="0.2">
      <c r="B284" s="149">
        <v>1020634012</v>
      </c>
      <c r="C284" s="149" t="s">
        <v>136</v>
      </c>
      <c r="D284" s="150" t="s">
        <v>51</v>
      </c>
      <c r="E284" s="151">
        <v>12.75</v>
      </c>
      <c r="F284" s="151">
        <v>15</v>
      </c>
      <c r="G284" s="151">
        <v>191.25</v>
      </c>
      <c r="H284" s="151">
        <v>15</v>
      </c>
      <c r="I284" s="151">
        <v>191.25</v>
      </c>
      <c r="J284" s="151">
        <v>0</v>
      </c>
      <c r="K284" s="151">
        <v>0</v>
      </c>
      <c r="L284" s="58">
        <f>IF(K284&gt;=0,K284,0)</f>
        <v>0</v>
      </c>
      <c r="M284" s="58">
        <f>IF(K284&lt;=0,K284,0)</f>
        <v>0</v>
      </c>
      <c r="N284" s="58">
        <f>L284+-M284</f>
        <v>0</v>
      </c>
      <c r="O284" s="19"/>
      <c r="P284" s="19">
        <f t="shared" si="13"/>
        <v>0</v>
      </c>
      <c r="Q284" s="19">
        <f t="shared" si="12"/>
        <v>0</v>
      </c>
    </row>
    <row r="285" spans="2:17" x14ac:dyDescent="0.2">
      <c r="B285" s="149">
        <v>102010045</v>
      </c>
      <c r="C285" s="149" t="s">
        <v>427</v>
      </c>
      <c r="D285" s="150" t="s">
        <v>51</v>
      </c>
      <c r="E285" s="151">
        <v>6.5</v>
      </c>
      <c r="F285" s="151">
        <v>33</v>
      </c>
      <c r="G285" s="151">
        <v>214.5</v>
      </c>
      <c r="H285" s="151">
        <v>33</v>
      </c>
      <c r="I285" s="151">
        <v>214.5</v>
      </c>
      <c r="J285" s="151">
        <v>0</v>
      </c>
      <c r="K285" s="151">
        <v>0</v>
      </c>
      <c r="L285" s="58">
        <f>IF(K285&gt;=0,K285,0)</f>
        <v>0</v>
      </c>
      <c r="M285" s="58">
        <f>IF(K285&lt;=0,K285,0)</f>
        <v>0</v>
      </c>
      <c r="N285" s="58">
        <f>L285+-M285</f>
        <v>0</v>
      </c>
      <c r="O285" s="19"/>
      <c r="P285" s="19">
        <f t="shared" si="13"/>
        <v>0</v>
      </c>
      <c r="Q285" s="19">
        <f t="shared" si="12"/>
        <v>0</v>
      </c>
    </row>
    <row r="286" spans="2:17" x14ac:dyDescent="0.2">
      <c r="B286" s="149">
        <v>102010018</v>
      </c>
      <c r="C286" s="149" t="s">
        <v>137</v>
      </c>
      <c r="D286" s="150" t="s">
        <v>51</v>
      </c>
      <c r="E286" s="151">
        <v>2.5</v>
      </c>
      <c r="F286" s="152">
        <v>1066.6500000000001</v>
      </c>
      <c r="G286" s="152">
        <v>2666.625</v>
      </c>
      <c r="H286" s="152">
        <v>1066.6500000000001</v>
      </c>
      <c r="I286" s="152">
        <v>2666.625</v>
      </c>
      <c r="J286" s="151">
        <v>0</v>
      </c>
      <c r="K286" s="151">
        <v>0</v>
      </c>
      <c r="L286" s="58">
        <f>IF(K286&gt;=0,K286,0)</f>
        <v>0</v>
      </c>
      <c r="M286" s="58">
        <f>IF(K286&lt;=0,K286,0)</f>
        <v>0</v>
      </c>
      <c r="N286" s="58">
        <f>L286+-M286</f>
        <v>0</v>
      </c>
      <c r="O286" s="19"/>
      <c r="P286" s="19">
        <f t="shared" si="13"/>
        <v>0</v>
      </c>
      <c r="Q286" s="19">
        <f t="shared" si="12"/>
        <v>0</v>
      </c>
    </row>
    <row r="287" spans="2:17" x14ac:dyDescent="0.2">
      <c r="B287" s="149">
        <v>503020015</v>
      </c>
      <c r="C287" s="149" t="s">
        <v>469</v>
      </c>
      <c r="D287" s="150" t="s">
        <v>51</v>
      </c>
      <c r="E287" s="151">
        <v>3.33</v>
      </c>
      <c r="F287" s="151">
        <v>22.5</v>
      </c>
      <c r="G287" s="151">
        <v>74.924999999999997</v>
      </c>
      <c r="H287" s="151">
        <v>22.5</v>
      </c>
      <c r="I287" s="151">
        <v>74.924999999999997</v>
      </c>
      <c r="J287" s="151">
        <v>0</v>
      </c>
      <c r="K287" s="151">
        <v>0</v>
      </c>
      <c r="L287" s="58">
        <f>IF(K287&gt;=0,K287,0)</f>
        <v>0</v>
      </c>
      <c r="M287" s="58">
        <f>IF(K287&lt;=0,K287,0)</f>
        <v>0</v>
      </c>
      <c r="N287" s="58">
        <f>L287+-M287</f>
        <v>0</v>
      </c>
      <c r="O287" s="19"/>
      <c r="P287" s="19">
        <f t="shared" si="13"/>
        <v>0</v>
      </c>
      <c r="Q287" s="19">
        <f t="shared" si="12"/>
        <v>0</v>
      </c>
    </row>
    <row r="288" spans="2:17" x14ac:dyDescent="0.2">
      <c r="B288" s="149">
        <v>4030230094</v>
      </c>
      <c r="C288" s="149" t="s">
        <v>138</v>
      </c>
      <c r="D288" s="150" t="s">
        <v>51</v>
      </c>
      <c r="E288" s="151">
        <v>6.1047079999999996</v>
      </c>
      <c r="F288" s="151">
        <v>230</v>
      </c>
      <c r="G288" s="152">
        <v>1404.08284</v>
      </c>
      <c r="H288" s="151">
        <v>230</v>
      </c>
      <c r="I288" s="152">
        <v>1404.08284</v>
      </c>
      <c r="J288" s="151">
        <v>0</v>
      </c>
      <c r="K288" s="151">
        <v>0</v>
      </c>
      <c r="L288" s="58">
        <f>IF(K288&gt;=0,K288,0)</f>
        <v>0</v>
      </c>
      <c r="M288" s="58">
        <f>IF(K288&lt;=0,K288,0)</f>
        <v>0</v>
      </c>
      <c r="N288" s="58">
        <f>L288+-M288</f>
        <v>0</v>
      </c>
      <c r="O288" s="19"/>
      <c r="P288" s="19">
        <f t="shared" si="13"/>
        <v>0</v>
      </c>
      <c r="Q288" s="19">
        <f t="shared" si="12"/>
        <v>0</v>
      </c>
    </row>
    <row r="289" spans="2:17" x14ac:dyDescent="0.2">
      <c r="B289" s="149">
        <v>40632922</v>
      </c>
      <c r="C289" s="149" t="s">
        <v>263</v>
      </c>
      <c r="D289" s="150" t="s">
        <v>58</v>
      </c>
      <c r="E289" s="151">
        <v>1.502</v>
      </c>
      <c r="F289" s="151">
        <v>780</v>
      </c>
      <c r="G289" s="152">
        <v>1171.56</v>
      </c>
      <c r="H289" s="151">
        <v>780</v>
      </c>
      <c r="I289" s="152">
        <v>1171.56</v>
      </c>
      <c r="J289" s="151">
        <v>0</v>
      </c>
      <c r="K289" s="151">
        <v>0</v>
      </c>
      <c r="L289" s="58">
        <f>IF(K289&gt;=0,K289,0)</f>
        <v>0</v>
      </c>
      <c r="M289" s="58">
        <f>IF(K289&lt;=0,K289,0)</f>
        <v>0</v>
      </c>
      <c r="N289" s="58">
        <f>L289+-M289</f>
        <v>0</v>
      </c>
      <c r="O289" s="19"/>
      <c r="P289" s="19">
        <f t="shared" si="13"/>
        <v>0</v>
      </c>
      <c r="Q289" s="19">
        <f t="shared" si="12"/>
        <v>0</v>
      </c>
    </row>
    <row r="290" spans="2:17" x14ac:dyDescent="0.2">
      <c r="B290" s="149">
        <v>10108040273</v>
      </c>
      <c r="C290" s="149" t="s">
        <v>393</v>
      </c>
      <c r="D290" s="150" t="s">
        <v>54</v>
      </c>
      <c r="E290" s="151">
        <v>5.9489999999999998</v>
      </c>
      <c r="F290" s="151">
        <v>89</v>
      </c>
      <c r="G290" s="151">
        <v>529.46100000000001</v>
      </c>
      <c r="H290" s="151">
        <v>89</v>
      </c>
      <c r="I290" s="151">
        <v>529.46100000000001</v>
      </c>
      <c r="J290" s="151">
        <v>0</v>
      </c>
      <c r="K290" s="151">
        <v>0</v>
      </c>
      <c r="L290" s="58">
        <f>IF(K290&gt;=0,K290,0)</f>
        <v>0</v>
      </c>
      <c r="M290" s="58">
        <f>IF(K290&lt;=0,K290,0)</f>
        <v>0</v>
      </c>
      <c r="N290" s="58">
        <f>L290+-M290</f>
        <v>0</v>
      </c>
      <c r="O290" s="19"/>
      <c r="P290" s="19">
        <f t="shared" si="13"/>
        <v>0</v>
      </c>
      <c r="Q290" s="19">
        <f t="shared" si="12"/>
        <v>0</v>
      </c>
    </row>
    <row r="291" spans="2:17" x14ac:dyDescent="0.2">
      <c r="B291" s="149">
        <v>102020013</v>
      </c>
      <c r="C291" s="149" t="s">
        <v>139</v>
      </c>
      <c r="D291" s="150" t="s">
        <v>51</v>
      </c>
      <c r="E291" s="151">
        <v>4.5</v>
      </c>
      <c r="F291" s="151">
        <v>212</v>
      </c>
      <c r="G291" s="151">
        <v>954</v>
      </c>
      <c r="H291" s="151">
        <v>212</v>
      </c>
      <c r="I291" s="151">
        <v>954</v>
      </c>
      <c r="J291" s="151">
        <v>0</v>
      </c>
      <c r="K291" s="151">
        <v>0</v>
      </c>
      <c r="L291" s="58">
        <f>IF(K291&gt;=0,K291,0)</f>
        <v>0</v>
      </c>
      <c r="M291" s="58">
        <f>IF(K291&lt;=0,K291,0)</f>
        <v>0</v>
      </c>
      <c r="N291" s="58">
        <f>L291+-M291</f>
        <v>0</v>
      </c>
      <c r="O291" s="19"/>
      <c r="P291" s="19">
        <f t="shared" si="13"/>
        <v>0</v>
      </c>
      <c r="Q291" s="19">
        <f t="shared" si="12"/>
        <v>0</v>
      </c>
    </row>
    <row r="292" spans="2:17" x14ac:dyDescent="0.2">
      <c r="B292" s="149">
        <v>201060023</v>
      </c>
      <c r="C292" s="149" t="s">
        <v>394</v>
      </c>
      <c r="D292" s="150" t="s">
        <v>87</v>
      </c>
      <c r="E292" s="151">
        <v>155.85300000000001</v>
      </c>
      <c r="F292" s="151">
        <v>1</v>
      </c>
      <c r="G292" s="151">
        <v>155.85300000000001</v>
      </c>
      <c r="H292" s="151">
        <v>1</v>
      </c>
      <c r="I292" s="151">
        <v>155.85300000000001</v>
      </c>
      <c r="J292" s="151">
        <v>0</v>
      </c>
      <c r="K292" s="151">
        <v>0</v>
      </c>
      <c r="L292" s="58">
        <f>IF(K292&gt;=0,K292,0)</f>
        <v>0</v>
      </c>
      <c r="M292" s="58">
        <f>IF(K292&lt;=0,K292,0)</f>
        <v>0</v>
      </c>
      <c r="N292" s="58">
        <f>L292+-M292</f>
        <v>0</v>
      </c>
      <c r="O292" s="19"/>
      <c r="P292" s="19">
        <f t="shared" si="13"/>
        <v>0</v>
      </c>
      <c r="Q292" s="19">
        <f t="shared" si="12"/>
        <v>0</v>
      </c>
    </row>
    <row r="293" spans="2:17" x14ac:dyDescent="0.2">
      <c r="B293" s="149">
        <v>20201037497</v>
      </c>
      <c r="C293" s="149" t="s">
        <v>140</v>
      </c>
      <c r="D293" s="150" t="s">
        <v>67</v>
      </c>
      <c r="E293" s="151">
        <v>0.76534000000000002</v>
      </c>
      <c r="F293" s="151">
        <v>260</v>
      </c>
      <c r="G293" s="151">
        <v>198.98840000000001</v>
      </c>
      <c r="H293" s="151">
        <v>260</v>
      </c>
      <c r="I293" s="151">
        <v>198.98840000000001</v>
      </c>
      <c r="J293" s="151">
        <v>0</v>
      </c>
      <c r="K293" s="151">
        <v>0</v>
      </c>
      <c r="L293" s="58">
        <f>IF(K293&gt;=0,K293,0)</f>
        <v>0</v>
      </c>
      <c r="M293" s="58">
        <f>IF(K293&lt;=0,K293,0)</f>
        <v>0</v>
      </c>
      <c r="N293" s="58">
        <f>L293+-M293</f>
        <v>0</v>
      </c>
      <c r="O293" s="19"/>
      <c r="P293" s="19">
        <f t="shared" si="13"/>
        <v>0</v>
      </c>
      <c r="Q293" s="19">
        <f t="shared" si="12"/>
        <v>0</v>
      </c>
    </row>
    <row r="294" spans="2:17" x14ac:dyDescent="0.2">
      <c r="B294" s="149">
        <v>2020132917</v>
      </c>
      <c r="C294" s="149" t="s">
        <v>141</v>
      </c>
      <c r="D294" s="150" t="s">
        <v>67</v>
      </c>
      <c r="E294" s="151">
        <v>9.15</v>
      </c>
      <c r="F294" s="151">
        <v>16</v>
      </c>
      <c r="G294" s="151">
        <v>146.4</v>
      </c>
      <c r="H294" s="151">
        <v>16</v>
      </c>
      <c r="I294" s="151">
        <v>146.4</v>
      </c>
      <c r="J294" s="151">
        <v>0</v>
      </c>
      <c r="K294" s="151">
        <v>0</v>
      </c>
      <c r="L294" s="58">
        <f>IF(K294&gt;=0,K294,0)</f>
        <v>0</v>
      </c>
      <c r="M294" s="58">
        <f>IF(K294&lt;=0,K294,0)</f>
        <v>0</v>
      </c>
      <c r="N294" s="58">
        <f>L294+-M294</f>
        <v>0</v>
      </c>
      <c r="O294" s="19"/>
      <c r="P294" s="19">
        <f t="shared" si="13"/>
        <v>0</v>
      </c>
      <c r="Q294" s="19">
        <f t="shared" si="12"/>
        <v>0</v>
      </c>
    </row>
    <row r="295" spans="2:17" x14ac:dyDescent="0.2">
      <c r="B295" s="149">
        <v>201060008</v>
      </c>
      <c r="C295" s="149" t="s">
        <v>264</v>
      </c>
      <c r="D295" s="150" t="s">
        <v>65</v>
      </c>
      <c r="E295" s="151">
        <v>88.14</v>
      </c>
      <c r="F295" s="151">
        <v>2</v>
      </c>
      <c r="G295" s="151">
        <v>176.28</v>
      </c>
      <c r="H295" s="151">
        <v>2</v>
      </c>
      <c r="I295" s="151">
        <v>176.28</v>
      </c>
      <c r="J295" s="151">
        <v>0</v>
      </c>
      <c r="K295" s="151">
        <v>0</v>
      </c>
      <c r="L295" s="58">
        <f>IF(K295&gt;=0,K295,0)</f>
        <v>0</v>
      </c>
      <c r="M295" s="58">
        <f>IF(K295&lt;=0,K295,0)</f>
        <v>0</v>
      </c>
      <c r="N295" s="58">
        <f>L295+-M295</f>
        <v>0</v>
      </c>
      <c r="O295" s="19"/>
      <c r="P295" s="19">
        <f t="shared" si="13"/>
        <v>0</v>
      </c>
      <c r="Q295" s="19">
        <f t="shared" si="12"/>
        <v>0</v>
      </c>
    </row>
    <row r="296" spans="2:17" x14ac:dyDescent="0.2">
      <c r="B296" s="149">
        <v>2020234174</v>
      </c>
      <c r="C296" s="149" t="s">
        <v>186</v>
      </c>
      <c r="D296" s="150" t="s">
        <v>58</v>
      </c>
      <c r="E296" s="151">
        <v>17.420000000000002</v>
      </c>
      <c r="F296" s="151">
        <v>32</v>
      </c>
      <c r="G296" s="151">
        <v>557.44000000000005</v>
      </c>
      <c r="H296" s="151">
        <v>32</v>
      </c>
      <c r="I296" s="151">
        <v>557.44000000000005</v>
      </c>
      <c r="J296" s="151">
        <v>0</v>
      </c>
      <c r="K296" s="151">
        <v>0</v>
      </c>
      <c r="L296" s="58">
        <f>IF(K296&gt;=0,K296,0)</f>
        <v>0</v>
      </c>
      <c r="M296" s="58">
        <f>IF(K296&lt;=0,K296,0)</f>
        <v>0</v>
      </c>
      <c r="N296" s="58">
        <f>L296+-M296</f>
        <v>0</v>
      </c>
      <c r="O296" s="19"/>
      <c r="P296" s="19">
        <f t="shared" si="13"/>
        <v>0</v>
      </c>
      <c r="Q296" s="19">
        <f t="shared" si="12"/>
        <v>0</v>
      </c>
    </row>
    <row r="297" spans="2:17" x14ac:dyDescent="0.2">
      <c r="B297" s="149">
        <v>102050043</v>
      </c>
      <c r="C297" s="149" t="s">
        <v>395</v>
      </c>
      <c r="D297" s="150" t="s">
        <v>54</v>
      </c>
      <c r="E297" s="151">
        <v>10.59</v>
      </c>
      <c r="F297" s="151">
        <v>1</v>
      </c>
      <c r="G297" s="151">
        <v>10.59</v>
      </c>
      <c r="H297" s="151">
        <v>1</v>
      </c>
      <c r="I297" s="151">
        <v>10.59</v>
      </c>
      <c r="J297" s="151">
        <v>0</v>
      </c>
      <c r="K297" s="151">
        <v>0</v>
      </c>
      <c r="L297" s="58">
        <f>IF(K297&gt;=0,K297,0)</f>
        <v>0</v>
      </c>
      <c r="M297" s="58">
        <f>IF(K297&lt;=0,K297,0)</f>
        <v>0</v>
      </c>
      <c r="N297" s="58">
        <f>L297+-M297</f>
        <v>0</v>
      </c>
      <c r="O297" s="19"/>
      <c r="P297" s="19">
        <f t="shared" si="13"/>
        <v>0</v>
      </c>
      <c r="Q297" s="19">
        <f t="shared" si="12"/>
        <v>0</v>
      </c>
    </row>
    <row r="298" spans="2:17" x14ac:dyDescent="0.2">
      <c r="B298" s="149">
        <v>1020233295</v>
      </c>
      <c r="C298" s="149" t="s">
        <v>142</v>
      </c>
      <c r="D298" s="150" t="s">
        <v>54</v>
      </c>
      <c r="E298" s="151">
        <v>17.841514</v>
      </c>
      <c r="F298" s="151">
        <v>84</v>
      </c>
      <c r="G298" s="152">
        <v>1498.6871759999999</v>
      </c>
      <c r="H298" s="151">
        <v>84</v>
      </c>
      <c r="I298" s="152">
        <v>1498.6871759999999</v>
      </c>
      <c r="J298" s="151">
        <v>0</v>
      </c>
      <c r="K298" s="151">
        <v>0</v>
      </c>
      <c r="L298" s="58">
        <f>IF(K298&gt;=0,K298,0)</f>
        <v>0</v>
      </c>
      <c r="M298" s="58">
        <f>IF(K298&lt;=0,K298,0)</f>
        <v>0</v>
      </c>
      <c r="N298" s="58">
        <f>L298+-M298</f>
        <v>0</v>
      </c>
      <c r="O298" s="19"/>
      <c r="P298" s="19">
        <f t="shared" si="13"/>
        <v>0</v>
      </c>
      <c r="Q298" s="19">
        <f t="shared" si="12"/>
        <v>0</v>
      </c>
    </row>
    <row r="299" spans="2:17" x14ac:dyDescent="0.2">
      <c r="B299" s="149">
        <v>1020233296</v>
      </c>
      <c r="C299" s="149" t="s">
        <v>143</v>
      </c>
      <c r="D299" s="150" t="s">
        <v>54</v>
      </c>
      <c r="E299" s="151">
        <v>9.5500000000000007</v>
      </c>
      <c r="F299" s="151">
        <v>30</v>
      </c>
      <c r="G299" s="151">
        <v>286.5</v>
      </c>
      <c r="H299" s="151">
        <v>30</v>
      </c>
      <c r="I299" s="151">
        <v>286.5</v>
      </c>
      <c r="J299" s="151">
        <v>0</v>
      </c>
      <c r="K299" s="151">
        <v>0</v>
      </c>
      <c r="L299" s="58">
        <f>IF(K299&gt;=0,K299,0)</f>
        <v>0</v>
      </c>
      <c r="M299" s="58">
        <f>IF(K299&lt;=0,K299,0)</f>
        <v>0</v>
      </c>
      <c r="N299" s="58">
        <f>L299+-M299</f>
        <v>0</v>
      </c>
      <c r="O299" s="19"/>
      <c r="P299" s="19">
        <f t="shared" si="13"/>
        <v>0</v>
      </c>
      <c r="Q299" s="19">
        <f t="shared" si="12"/>
        <v>0</v>
      </c>
    </row>
    <row r="300" spans="2:17" x14ac:dyDescent="0.2">
      <c r="B300" s="149">
        <v>1020233298</v>
      </c>
      <c r="C300" s="149" t="s">
        <v>470</v>
      </c>
      <c r="D300" s="150" t="s">
        <v>54</v>
      </c>
      <c r="E300" s="151">
        <v>14</v>
      </c>
      <c r="F300" s="151">
        <v>6</v>
      </c>
      <c r="G300" s="151">
        <v>84</v>
      </c>
      <c r="H300" s="151">
        <v>6</v>
      </c>
      <c r="I300" s="151">
        <v>84</v>
      </c>
      <c r="J300" s="151">
        <v>0</v>
      </c>
      <c r="K300" s="151">
        <v>0</v>
      </c>
      <c r="L300" s="58">
        <f>IF(K300&gt;=0,K300,0)</f>
        <v>0</v>
      </c>
      <c r="M300" s="58">
        <f>IF(K300&lt;=0,K300,0)</f>
        <v>0</v>
      </c>
      <c r="N300" s="58">
        <f>L300+-M300</f>
        <v>0</v>
      </c>
      <c r="O300" s="19"/>
      <c r="P300" s="19">
        <f t="shared" si="13"/>
        <v>0</v>
      </c>
      <c r="Q300" s="19">
        <f t="shared" si="12"/>
        <v>0</v>
      </c>
    </row>
    <row r="301" spans="2:17" x14ac:dyDescent="0.2">
      <c r="B301" s="149">
        <v>2052024749</v>
      </c>
      <c r="C301" s="149" t="s">
        <v>265</v>
      </c>
      <c r="D301" s="150" t="s">
        <v>113</v>
      </c>
      <c r="E301" s="151">
        <v>443.23</v>
      </c>
      <c r="F301" s="151">
        <v>1</v>
      </c>
      <c r="G301" s="151">
        <v>443.23</v>
      </c>
      <c r="H301" s="151">
        <v>1</v>
      </c>
      <c r="I301" s="151">
        <v>443.23</v>
      </c>
      <c r="J301" s="151">
        <v>0</v>
      </c>
      <c r="K301" s="151">
        <v>0</v>
      </c>
      <c r="L301" s="58">
        <f>IF(K301&gt;=0,K301,0)</f>
        <v>0</v>
      </c>
      <c r="M301" s="58">
        <f>IF(K301&lt;=0,K301,0)</f>
        <v>0</v>
      </c>
      <c r="N301" s="58">
        <f>L301+-M301</f>
        <v>0</v>
      </c>
      <c r="O301" s="19"/>
      <c r="P301" s="19">
        <f t="shared" si="13"/>
        <v>0</v>
      </c>
      <c r="Q301" s="19">
        <f t="shared" si="12"/>
        <v>0</v>
      </c>
    </row>
    <row r="302" spans="2:17" x14ac:dyDescent="0.2">
      <c r="B302" s="149">
        <v>2052000001</v>
      </c>
      <c r="C302" s="149" t="s">
        <v>145</v>
      </c>
      <c r="D302" s="150" t="s">
        <v>113</v>
      </c>
      <c r="E302" s="151">
        <v>479.80733500000002</v>
      </c>
      <c r="F302" s="151">
        <v>1</v>
      </c>
      <c r="G302" s="151">
        <v>479.80733500000002</v>
      </c>
      <c r="H302" s="151">
        <v>1</v>
      </c>
      <c r="I302" s="151">
        <v>479.80733500000002</v>
      </c>
      <c r="J302" s="151">
        <v>0</v>
      </c>
      <c r="K302" s="151">
        <v>0</v>
      </c>
      <c r="L302" s="58">
        <f>IF(K302&gt;=0,K302,0)</f>
        <v>0</v>
      </c>
      <c r="M302" s="58">
        <f>IF(K302&lt;=0,K302,0)</f>
        <v>0</v>
      </c>
      <c r="N302" s="58">
        <f>L302+-M302</f>
        <v>0</v>
      </c>
      <c r="O302" s="19"/>
      <c r="P302" s="19">
        <f t="shared" si="13"/>
        <v>0</v>
      </c>
      <c r="Q302" s="19">
        <f t="shared" si="12"/>
        <v>0</v>
      </c>
    </row>
    <row r="303" spans="2:17" x14ac:dyDescent="0.2">
      <c r="B303" s="149">
        <v>103020138</v>
      </c>
      <c r="C303" s="149" t="s">
        <v>471</v>
      </c>
      <c r="D303" s="150" t="s">
        <v>51</v>
      </c>
      <c r="E303" s="151">
        <v>33.5</v>
      </c>
      <c r="F303" s="151">
        <v>24.6</v>
      </c>
      <c r="G303" s="151">
        <v>824.1</v>
      </c>
      <c r="H303" s="151">
        <v>24.6</v>
      </c>
      <c r="I303" s="151">
        <v>824.1</v>
      </c>
      <c r="J303" s="151">
        <v>0</v>
      </c>
      <c r="K303" s="151">
        <v>0</v>
      </c>
      <c r="L303" s="58">
        <f>IF(K303&gt;=0,K303,0)</f>
        <v>0</v>
      </c>
      <c r="M303" s="58">
        <f>IF(K303&lt;=0,K303,0)</f>
        <v>0</v>
      </c>
      <c r="N303" s="58">
        <f>L303+-M303</f>
        <v>0</v>
      </c>
      <c r="O303" s="19"/>
      <c r="P303" s="19">
        <f t="shared" si="13"/>
        <v>0</v>
      </c>
      <c r="Q303" s="19">
        <f t="shared" si="12"/>
        <v>0</v>
      </c>
    </row>
    <row r="304" spans="2:17" x14ac:dyDescent="0.2">
      <c r="B304" s="149">
        <v>10205039618</v>
      </c>
      <c r="C304" s="149" t="s">
        <v>192</v>
      </c>
      <c r="D304" s="150" t="s">
        <v>54</v>
      </c>
      <c r="E304" s="151">
        <v>11.19</v>
      </c>
      <c r="F304" s="151">
        <v>39</v>
      </c>
      <c r="G304" s="151">
        <v>436.41</v>
      </c>
      <c r="H304" s="151">
        <v>39</v>
      </c>
      <c r="I304" s="151">
        <v>436.41</v>
      </c>
      <c r="J304" s="151">
        <v>0</v>
      </c>
      <c r="K304" s="151">
        <v>0</v>
      </c>
      <c r="L304" s="58">
        <f>IF(K304&gt;=0,K304,0)</f>
        <v>0</v>
      </c>
      <c r="M304" s="58">
        <f>IF(K304&lt;=0,K304,0)</f>
        <v>0</v>
      </c>
      <c r="N304" s="58">
        <f>L304+-M304</f>
        <v>0</v>
      </c>
      <c r="O304" s="19"/>
      <c r="P304" s="19">
        <f t="shared" si="13"/>
        <v>0</v>
      </c>
      <c r="Q304" s="19">
        <f t="shared" si="12"/>
        <v>0</v>
      </c>
    </row>
    <row r="305" spans="2:17" x14ac:dyDescent="0.2">
      <c r="B305" s="149">
        <v>40107038254</v>
      </c>
      <c r="C305" s="149" t="s">
        <v>369</v>
      </c>
      <c r="D305" s="150" t="s">
        <v>51</v>
      </c>
      <c r="E305" s="151">
        <v>9.2360059999999997</v>
      </c>
      <c r="F305" s="151">
        <v>640</v>
      </c>
      <c r="G305" s="152">
        <v>5911.0438400000003</v>
      </c>
      <c r="H305" s="151">
        <v>640</v>
      </c>
      <c r="I305" s="152">
        <v>5911.0438400000003</v>
      </c>
      <c r="J305" s="151">
        <v>0</v>
      </c>
      <c r="K305" s="151">
        <v>0</v>
      </c>
      <c r="L305" s="58">
        <f>IF(K305&gt;=0,K305,0)</f>
        <v>0</v>
      </c>
      <c r="M305" s="58">
        <f>IF(K305&lt;=0,K305,0)</f>
        <v>0</v>
      </c>
      <c r="N305" s="58">
        <f>L305+-M305</f>
        <v>0</v>
      </c>
      <c r="O305" s="19"/>
      <c r="P305" s="19">
        <f t="shared" si="13"/>
        <v>0</v>
      </c>
      <c r="Q305" s="19">
        <f t="shared" si="12"/>
        <v>0</v>
      </c>
    </row>
    <row r="306" spans="2:17" x14ac:dyDescent="0.2">
      <c r="B306" s="149">
        <v>102010020</v>
      </c>
      <c r="C306" s="149" t="s">
        <v>146</v>
      </c>
      <c r="D306" s="150" t="s">
        <v>51</v>
      </c>
      <c r="E306" s="151">
        <v>3.99</v>
      </c>
      <c r="F306" s="151">
        <v>61.06</v>
      </c>
      <c r="G306" s="151">
        <v>243.6294</v>
      </c>
      <c r="H306" s="151">
        <v>61.06</v>
      </c>
      <c r="I306" s="151">
        <v>243.6294</v>
      </c>
      <c r="J306" s="151">
        <v>0</v>
      </c>
      <c r="K306" s="151">
        <v>0</v>
      </c>
      <c r="L306" s="58">
        <f>IF(K306&gt;=0,K306,0)</f>
        <v>0</v>
      </c>
      <c r="M306" s="58">
        <f>IF(K306&lt;=0,K306,0)</f>
        <v>0</v>
      </c>
      <c r="N306" s="58">
        <f>L306+-M306</f>
        <v>0</v>
      </c>
      <c r="O306" s="19"/>
      <c r="P306" s="19">
        <f t="shared" si="13"/>
        <v>0</v>
      </c>
      <c r="Q306" s="19">
        <f t="shared" si="12"/>
        <v>0</v>
      </c>
    </row>
    <row r="307" spans="2:17" x14ac:dyDescent="0.2">
      <c r="B307" s="149">
        <v>103030076</v>
      </c>
      <c r="C307" s="149" t="s">
        <v>291</v>
      </c>
      <c r="D307" s="150" t="s">
        <v>51</v>
      </c>
      <c r="E307" s="151">
        <v>34.51</v>
      </c>
      <c r="F307" s="151">
        <v>145</v>
      </c>
      <c r="G307" s="152">
        <v>5003.95</v>
      </c>
      <c r="H307" s="151">
        <v>145</v>
      </c>
      <c r="I307" s="152">
        <v>5003.95</v>
      </c>
      <c r="J307" s="151">
        <v>0</v>
      </c>
      <c r="K307" s="151">
        <v>0</v>
      </c>
      <c r="L307" s="58">
        <f>IF(K307&gt;=0,K307,0)</f>
        <v>0</v>
      </c>
      <c r="M307" s="58">
        <f>IF(K307&lt;=0,K307,0)</f>
        <v>0</v>
      </c>
      <c r="N307" s="58">
        <f>L307+-M307</f>
        <v>0</v>
      </c>
      <c r="O307" s="19"/>
      <c r="P307" s="19">
        <f t="shared" si="13"/>
        <v>0</v>
      </c>
      <c r="Q307" s="19">
        <f t="shared" si="12"/>
        <v>0</v>
      </c>
    </row>
    <row r="308" spans="2:17" x14ac:dyDescent="0.2">
      <c r="B308" s="149">
        <v>40107038917</v>
      </c>
      <c r="C308" s="149" t="s">
        <v>472</v>
      </c>
      <c r="D308" s="150" t="s">
        <v>51</v>
      </c>
      <c r="E308" s="151">
        <v>4.7835359999999998</v>
      </c>
      <c r="F308" s="152">
        <v>1120.2</v>
      </c>
      <c r="G308" s="152">
        <v>5358.5170269999999</v>
      </c>
      <c r="H308" s="152">
        <v>1120.2</v>
      </c>
      <c r="I308" s="152">
        <v>5358.5170269999999</v>
      </c>
      <c r="J308" s="151">
        <v>0</v>
      </c>
      <c r="K308" s="151">
        <v>0</v>
      </c>
      <c r="L308" s="58">
        <f>IF(K308&gt;=0,K308,0)</f>
        <v>0</v>
      </c>
      <c r="M308" s="58">
        <f>IF(K308&lt;=0,K308,0)</f>
        <v>0</v>
      </c>
      <c r="N308" s="58">
        <f>L308+-M308</f>
        <v>0</v>
      </c>
      <c r="O308" s="19"/>
      <c r="P308" s="19">
        <f t="shared" si="13"/>
        <v>0</v>
      </c>
      <c r="Q308" s="19">
        <f t="shared" si="12"/>
        <v>0</v>
      </c>
    </row>
    <row r="309" spans="2:17" x14ac:dyDescent="0.2">
      <c r="B309" s="149">
        <v>5030211</v>
      </c>
      <c r="C309" s="149" t="s">
        <v>473</v>
      </c>
      <c r="D309" s="150" t="s">
        <v>127</v>
      </c>
      <c r="E309" s="151">
        <v>6.76</v>
      </c>
      <c r="F309" s="151">
        <v>18</v>
      </c>
      <c r="G309" s="151">
        <v>121.68</v>
      </c>
      <c r="H309" s="151">
        <v>18</v>
      </c>
      <c r="I309" s="151">
        <v>121.68</v>
      </c>
      <c r="J309" s="151">
        <v>0</v>
      </c>
      <c r="K309" s="151">
        <v>0</v>
      </c>
      <c r="L309" s="58">
        <f>IF(K309&gt;=0,K309,0)</f>
        <v>0</v>
      </c>
      <c r="M309" s="58">
        <f>IF(K309&lt;=0,K309,0)</f>
        <v>0</v>
      </c>
      <c r="N309" s="58">
        <f>L309+-M309</f>
        <v>0</v>
      </c>
      <c r="O309" s="19"/>
      <c r="P309" s="19">
        <f t="shared" si="13"/>
        <v>0</v>
      </c>
      <c r="Q309" s="19">
        <f t="shared" si="12"/>
        <v>0</v>
      </c>
    </row>
    <row r="310" spans="2:17" x14ac:dyDescent="0.2">
      <c r="B310" s="149">
        <v>5030210</v>
      </c>
      <c r="C310" s="149" t="s">
        <v>474</v>
      </c>
      <c r="D310" s="150" t="s">
        <v>127</v>
      </c>
      <c r="E310" s="151">
        <v>6.76</v>
      </c>
      <c r="F310" s="151">
        <v>60</v>
      </c>
      <c r="G310" s="151">
        <v>405.6</v>
      </c>
      <c r="H310" s="151">
        <v>60</v>
      </c>
      <c r="I310" s="151">
        <v>405.6</v>
      </c>
      <c r="J310" s="151">
        <v>0</v>
      </c>
      <c r="K310" s="151">
        <v>0</v>
      </c>
      <c r="L310" s="58">
        <f>IF(K310&gt;=0,K310,0)</f>
        <v>0</v>
      </c>
      <c r="M310" s="58">
        <f>IF(K310&lt;=0,K310,0)</f>
        <v>0</v>
      </c>
      <c r="N310" s="58">
        <f>L310+-M310</f>
        <v>0</v>
      </c>
      <c r="O310" s="19"/>
      <c r="P310" s="19">
        <f t="shared" si="13"/>
        <v>0</v>
      </c>
      <c r="Q310" s="19">
        <f t="shared" si="12"/>
        <v>0</v>
      </c>
    </row>
    <row r="311" spans="2:17" x14ac:dyDescent="0.2">
      <c r="B311" s="149">
        <v>102010022</v>
      </c>
      <c r="C311" s="149" t="s">
        <v>149</v>
      </c>
      <c r="D311" s="150" t="s">
        <v>51</v>
      </c>
      <c r="E311" s="151">
        <v>7.5</v>
      </c>
      <c r="F311" s="151">
        <v>27.53</v>
      </c>
      <c r="G311" s="151">
        <v>206.47499999999999</v>
      </c>
      <c r="H311" s="151">
        <v>27.53</v>
      </c>
      <c r="I311" s="151">
        <v>206.47499999999999</v>
      </c>
      <c r="J311" s="151">
        <v>0</v>
      </c>
      <c r="K311" s="151">
        <v>0</v>
      </c>
      <c r="L311" s="58">
        <f>IF(K311&gt;=0,K311,0)</f>
        <v>0</v>
      </c>
      <c r="M311" s="58">
        <f>IF(K311&lt;=0,K311,0)</f>
        <v>0</v>
      </c>
      <c r="N311" s="58">
        <f>L311+-M311</f>
        <v>0</v>
      </c>
      <c r="O311" s="19"/>
      <c r="P311" s="19">
        <f t="shared" si="13"/>
        <v>0</v>
      </c>
      <c r="Q311" s="19">
        <f t="shared" si="12"/>
        <v>0</v>
      </c>
    </row>
    <row r="312" spans="2:17" x14ac:dyDescent="0.2">
      <c r="B312" s="149">
        <v>102040187</v>
      </c>
      <c r="C312" s="149" t="s">
        <v>407</v>
      </c>
      <c r="D312" s="150" t="s">
        <v>59</v>
      </c>
      <c r="E312" s="151">
        <v>6.96</v>
      </c>
      <c r="F312" s="151">
        <v>12</v>
      </c>
      <c r="G312" s="151">
        <v>83.52</v>
      </c>
      <c r="H312" s="151">
        <v>12</v>
      </c>
      <c r="I312" s="151">
        <v>83.52</v>
      </c>
      <c r="J312" s="151">
        <v>0</v>
      </c>
      <c r="K312" s="151">
        <v>0</v>
      </c>
      <c r="L312" s="58">
        <f>IF(K312&gt;=0,K312,0)</f>
        <v>0</v>
      </c>
      <c r="M312" s="58">
        <f>IF(K312&lt;=0,K312,0)</f>
        <v>0</v>
      </c>
      <c r="N312" s="58">
        <f>L312+-M312</f>
        <v>0</v>
      </c>
      <c r="O312" s="19"/>
      <c r="P312" s="19">
        <f t="shared" si="13"/>
        <v>0</v>
      </c>
      <c r="Q312" s="19">
        <f t="shared" si="12"/>
        <v>0</v>
      </c>
    </row>
    <row r="313" spans="2:17" x14ac:dyDescent="0.2">
      <c r="B313" s="149">
        <v>102020032</v>
      </c>
      <c r="C313" s="149" t="s">
        <v>396</v>
      </c>
      <c r="D313" s="150" t="s">
        <v>51</v>
      </c>
      <c r="E313" s="151">
        <v>4.2</v>
      </c>
      <c r="F313" s="151">
        <v>55.5</v>
      </c>
      <c r="G313" s="151">
        <v>233.1</v>
      </c>
      <c r="H313" s="151">
        <v>55.5</v>
      </c>
      <c r="I313" s="151">
        <v>233.1</v>
      </c>
      <c r="J313" s="151">
        <v>0</v>
      </c>
      <c r="K313" s="151">
        <v>0</v>
      </c>
      <c r="L313" s="58">
        <f>IF(K313&gt;=0,K313,0)</f>
        <v>0</v>
      </c>
      <c r="M313" s="58">
        <f>IF(K313&lt;=0,K313,0)</f>
        <v>0</v>
      </c>
      <c r="N313" s="58">
        <f>L313+-M313</f>
        <v>0</v>
      </c>
      <c r="O313" s="19"/>
      <c r="P313" s="19">
        <f t="shared" si="13"/>
        <v>0</v>
      </c>
      <c r="Q313" s="19">
        <f t="shared" si="12"/>
        <v>0</v>
      </c>
    </row>
    <row r="314" spans="2:17" x14ac:dyDescent="0.2">
      <c r="B314" s="149">
        <v>6020530192</v>
      </c>
      <c r="C314" s="149" t="s">
        <v>151</v>
      </c>
      <c r="D314" s="150" t="s">
        <v>65</v>
      </c>
      <c r="E314" s="151">
        <v>76.633813000000004</v>
      </c>
      <c r="F314" s="151">
        <v>1</v>
      </c>
      <c r="G314" s="151">
        <v>76.633813000000004</v>
      </c>
      <c r="H314" s="151">
        <v>1</v>
      </c>
      <c r="I314" s="151">
        <v>76.633813000000004</v>
      </c>
      <c r="J314" s="151">
        <v>0</v>
      </c>
      <c r="K314" s="151">
        <v>0</v>
      </c>
      <c r="L314" s="58">
        <f>IF(K314&gt;=0,K314,0)</f>
        <v>0</v>
      </c>
      <c r="M314" s="58">
        <f>IF(K314&lt;=0,K314,0)</f>
        <v>0</v>
      </c>
      <c r="N314" s="58">
        <f>L314+-M314</f>
        <v>0</v>
      </c>
      <c r="O314" s="19"/>
      <c r="P314" s="19">
        <f t="shared" si="13"/>
        <v>0</v>
      </c>
      <c r="Q314" s="19">
        <f t="shared" si="12"/>
        <v>0</v>
      </c>
    </row>
    <row r="315" spans="2:17" x14ac:dyDescent="0.2">
      <c r="B315" s="149">
        <v>40107042202</v>
      </c>
      <c r="C315" s="149" t="s">
        <v>428</v>
      </c>
      <c r="D315" s="150" t="s">
        <v>51</v>
      </c>
      <c r="E315" s="151">
        <v>6.9890290000000004</v>
      </c>
      <c r="F315" s="151">
        <v>194.32</v>
      </c>
      <c r="G315" s="152">
        <v>1358.108115</v>
      </c>
      <c r="H315" s="151">
        <v>194.32</v>
      </c>
      <c r="I315" s="152">
        <v>1358.108115</v>
      </c>
      <c r="J315" s="151">
        <v>0</v>
      </c>
      <c r="K315" s="151">
        <v>0</v>
      </c>
      <c r="L315" s="58">
        <f>IF(K315&gt;=0,K315,0)</f>
        <v>0</v>
      </c>
      <c r="M315" s="58">
        <f>IF(K315&lt;=0,K315,0)</f>
        <v>0</v>
      </c>
      <c r="N315" s="58">
        <f>L315+-M315</f>
        <v>0</v>
      </c>
      <c r="O315" s="19"/>
      <c r="P315" s="19">
        <f t="shared" si="13"/>
        <v>0</v>
      </c>
      <c r="Q315" s="19">
        <f t="shared" si="12"/>
        <v>0</v>
      </c>
    </row>
    <row r="316" spans="2:17" x14ac:dyDescent="0.2">
      <c r="B316" s="149">
        <v>4010731134</v>
      </c>
      <c r="C316" s="149" t="s">
        <v>335</v>
      </c>
      <c r="D316" s="150" t="s">
        <v>51</v>
      </c>
      <c r="E316" s="151">
        <v>9.2061379999999993</v>
      </c>
      <c r="F316" s="151">
        <v>113.2</v>
      </c>
      <c r="G316" s="152">
        <v>1042.134822</v>
      </c>
      <c r="H316" s="151">
        <v>113.2</v>
      </c>
      <c r="I316" s="152">
        <v>1042.134822</v>
      </c>
      <c r="J316" s="151">
        <v>0</v>
      </c>
      <c r="K316" s="151">
        <v>0</v>
      </c>
      <c r="L316" s="58">
        <f>IF(K316&gt;=0,K316,0)</f>
        <v>0</v>
      </c>
      <c r="M316" s="58">
        <f>IF(K316&lt;=0,K316,0)</f>
        <v>0</v>
      </c>
      <c r="N316" s="58">
        <f>L316+-M316</f>
        <v>0</v>
      </c>
      <c r="O316" s="19"/>
      <c r="P316" s="19">
        <f t="shared" si="13"/>
        <v>0</v>
      </c>
      <c r="Q316" s="19">
        <f t="shared" ref="Q316:Q379" si="14">P316+Q315</f>
        <v>0</v>
      </c>
    </row>
    <row r="317" spans="2:17" x14ac:dyDescent="0.2">
      <c r="B317" s="149">
        <v>10208037945</v>
      </c>
      <c r="C317" s="149" t="s">
        <v>397</v>
      </c>
      <c r="D317" s="150" t="s">
        <v>54</v>
      </c>
      <c r="E317" s="151">
        <v>36.78</v>
      </c>
      <c r="F317" s="151">
        <v>2</v>
      </c>
      <c r="G317" s="151">
        <v>73.56</v>
      </c>
      <c r="H317" s="151">
        <v>2</v>
      </c>
      <c r="I317" s="151">
        <v>73.56</v>
      </c>
      <c r="J317" s="151">
        <v>0</v>
      </c>
      <c r="K317" s="151">
        <v>0</v>
      </c>
      <c r="L317" s="58">
        <f>IF(K317&gt;=0,K317,0)</f>
        <v>0</v>
      </c>
      <c r="M317" s="58">
        <f>IF(K317&lt;=0,K317,0)</f>
        <v>0</v>
      </c>
      <c r="N317" s="58">
        <f>L317+-M317</f>
        <v>0</v>
      </c>
      <c r="O317" s="19"/>
      <c r="P317" s="19">
        <f t="shared" si="13"/>
        <v>0</v>
      </c>
      <c r="Q317" s="19">
        <f t="shared" si="14"/>
        <v>0</v>
      </c>
    </row>
    <row r="318" spans="2:17" x14ac:dyDescent="0.2">
      <c r="B318" s="149">
        <v>102010024</v>
      </c>
      <c r="C318" s="149" t="s">
        <v>429</v>
      </c>
      <c r="D318" s="150" t="s">
        <v>51</v>
      </c>
      <c r="E318" s="151">
        <v>5.47</v>
      </c>
      <c r="F318" s="151">
        <v>2.9</v>
      </c>
      <c r="G318" s="151">
        <v>15.863</v>
      </c>
      <c r="H318" s="151">
        <v>2.9</v>
      </c>
      <c r="I318" s="151">
        <v>15.863</v>
      </c>
      <c r="J318" s="151">
        <v>0</v>
      </c>
      <c r="K318" s="151">
        <v>0</v>
      </c>
      <c r="L318" s="58">
        <f>IF(K318&gt;=0,K318,0)</f>
        <v>0</v>
      </c>
      <c r="M318" s="58">
        <f>IF(K318&lt;=0,K318,0)</f>
        <v>0</v>
      </c>
      <c r="N318" s="58">
        <f>L318+-M318</f>
        <v>0</v>
      </c>
      <c r="O318" s="19"/>
      <c r="P318" s="19">
        <f t="shared" si="13"/>
        <v>0</v>
      </c>
      <c r="Q318" s="19">
        <f t="shared" si="14"/>
        <v>0</v>
      </c>
    </row>
    <row r="319" spans="2:17" x14ac:dyDescent="0.2">
      <c r="B319" s="149" t="s">
        <v>336</v>
      </c>
      <c r="C319" s="149" t="s">
        <v>337</v>
      </c>
      <c r="D319" s="150" t="s">
        <v>65</v>
      </c>
      <c r="E319" s="152">
        <v>1075.7059999999999</v>
      </c>
      <c r="F319" s="151">
        <v>1.79</v>
      </c>
      <c r="G319" s="152">
        <v>1925.5137400000001</v>
      </c>
      <c r="H319" s="151">
        <v>1.79</v>
      </c>
      <c r="I319" s="152">
        <v>1925.5137400000001</v>
      </c>
      <c r="J319" s="151">
        <v>0</v>
      </c>
      <c r="K319" s="151">
        <v>0</v>
      </c>
      <c r="L319" s="58">
        <f>IF(K319&gt;=0,K319,0)</f>
        <v>0</v>
      </c>
      <c r="M319" s="58">
        <f>IF(K319&lt;=0,K319,0)</f>
        <v>0</v>
      </c>
      <c r="N319" s="58">
        <f>L319+-M319</f>
        <v>0</v>
      </c>
      <c r="O319" s="19"/>
      <c r="P319" s="19">
        <f t="shared" si="13"/>
        <v>0</v>
      </c>
      <c r="Q319" s="19">
        <f t="shared" si="14"/>
        <v>0</v>
      </c>
    </row>
    <row r="320" spans="2:17" x14ac:dyDescent="0.2">
      <c r="B320" s="149">
        <v>20518038579</v>
      </c>
      <c r="C320" s="149" t="s">
        <v>292</v>
      </c>
      <c r="D320" s="150" t="s">
        <v>58</v>
      </c>
      <c r="E320" s="151">
        <v>77.81</v>
      </c>
      <c r="F320" s="151">
        <v>33</v>
      </c>
      <c r="G320" s="152">
        <v>2567.73</v>
      </c>
      <c r="H320" s="151">
        <v>33</v>
      </c>
      <c r="I320" s="152">
        <v>2567.73</v>
      </c>
      <c r="J320" s="151">
        <v>0</v>
      </c>
      <c r="K320" s="151">
        <v>0</v>
      </c>
      <c r="L320" s="58">
        <f>IF(K320&gt;=0,K320,0)</f>
        <v>0</v>
      </c>
      <c r="M320" s="58">
        <f>IF(K320&lt;=0,K320,0)</f>
        <v>0</v>
      </c>
      <c r="N320" s="58">
        <f>L320+-M320</f>
        <v>0</v>
      </c>
      <c r="O320" s="19"/>
      <c r="P320" s="19">
        <f t="shared" si="13"/>
        <v>0</v>
      </c>
      <c r="Q320" s="19">
        <f t="shared" si="14"/>
        <v>0</v>
      </c>
    </row>
    <row r="321" spans="2:17" x14ac:dyDescent="0.2">
      <c r="B321" s="149">
        <v>1020233289</v>
      </c>
      <c r="C321" s="149" t="s">
        <v>152</v>
      </c>
      <c r="D321" s="150" t="s">
        <v>54</v>
      </c>
      <c r="E321" s="151">
        <v>12</v>
      </c>
      <c r="F321" s="151">
        <v>71.5</v>
      </c>
      <c r="G321" s="151">
        <v>858</v>
      </c>
      <c r="H321" s="151">
        <v>71.5</v>
      </c>
      <c r="I321" s="151">
        <v>858</v>
      </c>
      <c r="J321" s="151">
        <v>0</v>
      </c>
      <c r="K321" s="151">
        <v>0</v>
      </c>
      <c r="L321" s="58">
        <f>IF(K321&gt;=0,K321,0)</f>
        <v>0</v>
      </c>
      <c r="M321" s="58">
        <f>IF(K321&lt;=0,K321,0)</f>
        <v>0</v>
      </c>
      <c r="N321" s="58">
        <f>L321+-M321</f>
        <v>0</v>
      </c>
      <c r="O321" s="19"/>
      <c r="P321" s="19">
        <f t="shared" si="13"/>
        <v>0</v>
      </c>
      <c r="Q321" s="19">
        <f t="shared" si="14"/>
        <v>0</v>
      </c>
    </row>
    <row r="322" spans="2:17" x14ac:dyDescent="0.2">
      <c r="B322" s="149">
        <v>1020233290</v>
      </c>
      <c r="C322" s="149" t="s">
        <v>210</v>
      </c>
      <c r="D322" s="150" t="s">
        <v>54</v>
      </c>
      <c r="E322" s="151">
        <v>12.5</v>
      </c>
      <c r="F322" s="151">
        <v>17</v>
      </c>
      <c r="G322" s="151">
        <v>212.5</v>
      </c>
      <c r="H322" s="151">
        <v>17</v>
      </c>
      <c r="I322" s="151">
        <v>212.5</v>
      </c>
      <c r="J322" s="151">
        <v>0</v>
      </c>
      <c r="K322" s="151">
        <v>0</v>
      </c>
      <c r="L322" s="58">
        <f>IF(K322&gt;=0,K322,0)</f>
        <v>0</v>
      </c>
      <c r="M322" s="58">
        <f>IF(K322&lt;=0,K322,0)</f>
        <v>0</v>
      </c>
      <c r="N322" s="58">
        <f>L322+-M322</f>
        <v>0</v>
      </c>
      <c r="O322" s="19"/>
      <c r="P322" s="19">
        <f t="shared" si="13"/>
        <v>0</v>
      </c>
      <c r="Q322" s="19">
        <f t="shared" si="14"/>
        <v>0</v>
      </c>
    </row>
    <row r="323" spans="2:17" x14ac:dyDescent="0.2">
      <c r="B323" s="149">
        <v>1020233291</v>
      </c>
      <c r="C323" s="149" t="s">
        <v>266</v>
      </c>
      <c r="D323" s="150" t="s">
        <v>54</v>
      </c>
      <c r="E323" s="151">
        <v>13.4</v>
      </c>
      <c r="F323" s="151">
        <v>2</v>
      </c>
      <c r="G323" s="151">
        <v>26.8</v>
      </c>
      <c r="H323" s="151">
        <v>2</v>
      </c>
      <c r="I323" s="151">
        <v>26.8</v>
      </c>
      <c r="J323" s="151">
        <v>0</v>
      </c>
      <c r="K323" s="151">
        <v>0</v>
      </c>
      <c r="L323" s="58">
        <f>IF(K323&gt;=0,K323,0)</f>
        <v>0</v>
      </c>
      <c r="M323" s="58">
        <f>IF(K323&lt;=0,K323,0)</f>
        <v>0</v>
      </c>
      <c r="N323" s="58">
        <f>L323+-M323</f>
        <v>0</v>
      </c>
      <c r="O323" s="19"/>
      <c r="P323" s="19">
        <f t="shared" si="13"/>
        <v>0</v>
      </c>
      <c r="Q323" s="19">
        <f t="shared" si="14"/>
        <v>0</v>
      </c>
    </row>
    <row r="324" spans="2:17" x14ac:dyDescent="0.2">
      <c r="B324" s="149">
        <v>1020233292</v>
      </c>
      <c r="C324" s="149" t="s">
        <v>267</v>
      </c>
      <c r="D324" s="150" t="s">
        <v>54</v>
      </c>
      <c r="E324" s="151">
        <v>12.8</v>
      </c>
      <c r="F324" s="151">
        <v>11</v>
      </c>
      <c r="G324" s="151">
        <v>140.80000000000001</v>
      </c>
      <c r="H324" s="151">
        <v>11</v>
      </c>
      <c r="I324" s="151">
        <v>140.80000000000001</v>
      </c>
      <c r="J324" s="151">
        <v>0</v>
      </c>
      <c r="K324" s="151">
        <v>0</v>
      </c>
      <c r="L324" s="58">
        <f>IF(K324&gt;=0,K324,0)</f>
        <v>0</v>
      </c>
      <c r="M324" s="58">
        <f>IF(K324&lt;=0,K324,0)</f>
        <v>0</v>
      </c>
      <c r="N324" s="58">
        <f>L324+-M324</f>
        <v>0</v>
      </c>
      <c r="O324" s="19"/>
      <c r="P324" s="19">
        <f t="shared" si="13"/>
        <v>0</v>
      </c>
      <c r="Q324" s="19">
        <f t="shared" si="14"/>
        <v>0</v>
      </c>
    </row>
    <row r="325" spans="2:17" x14ac:dyDescent="0.2">
      <c r="B325" s="149">
        <v>2030136</v>
      </c>
      <c r="C325" s="149" t="s">
        <v>370</v>
      </c>
      <c r="D325" s="150" t="s">
        <v>54</v>
      </c>
      <c r="E325" s="151">
        <v>13.14</v>
      </c>
      <c r="F325" s="151">
        <v>26</v>
      </c>
      <c r="G325" s="151">
        <v>341.64</v>
      </c>
      <c r="H325" s="151">
        <v>26</v>
      </c>
      <c r="I325" s="151">
        <v>341.64</v>
      </c>
      <c r="J325" s="151">
        <v>0</v>
      </c>
      <c r="K325" s="151">
        <v>0</v>
      </c>
      <c r="L325" s="58">
        <f>IF(K325&gt;=0,K325,0)</f>
        <v>0</v>
      </c>
      <c r="M325" s="58">
        <f>IF(K325&lt;=0,K325,0)</f>
        <v>0</v>
      </c>
      <c r="N325" s="58">
        <f>L325+-M325</f>
        <v>0</v>
      </c>
      <c r="O325" s="19"/>
      <c r="P325" s="19">
        <f t="shared" si="13"/>
        <v>0</v>
      </c>
      <c r="Q325" s="19">
        <f t="shared" si="14"/>
        <v>0</v>
      </c>
    </row>
    <row r="326" spans="2:17" x14ac:dyDescent="0.2">
      <c r="B326" s="149">
        <v>2030134</v>
      </c>
      <c r="C326" s="149" t="s">
        <v>153</v>
      </c>
      <c r="D326" s="150" t="s">
        <v>54</v>
      </c>
      <c r="E326" s="151">
        <v>12.269023000000001</v>
      </c>
      <c r="F326" s="151">
        <v>27</v>
      </c>
      <c r="G326" s="151">
        <v>331.263621</v>
      </c>
      <c r="H326" s="151">
        <v>27</v>
      </c>
      <c r="I326" s="151">
        <v>331.263621</v>
      </c>
      <c r="J326" s="151">
        <v>0</v>
      </c>
      <c r="K326" s="151">
        <v>0</v>
      </c>
      <c r="L326" s="58">
        <f>IF(K326&gt;=0,K326,0)</f>
        <v>0</v>
      </c>
      <c r="M326" s="58">
        <f>IF(K326&lt;=0,K326,0)</f>
        <v>0</v>
      </c>
      <c r="N326" s="58">
        <f>L326+-M326</f>
        <v>0</v>
      </c>
      <c r="O326" s="19"/>
      <c r="P326" s="19">
        <f t="shared" si="13"/>
        <v>0</v>
      </c>
      <c r="Q326" s="19">
        <f t="shared" si="14"/>
        <v>0</v>
      </c>
    </row>
    <row r="327" spans="2:17" x14ac:dyDescent="0.2">
      <c r="B327" s="149">
        <v>3020222717</v>
      </c>
      <c r="C327" s="149" t="s">
        <v>154</v>
      </c>
      <c r="D327" s="150" t="s">
        <v>54</v>
      </c>
      <c r="E327" s="151">
        <v>12.27</v>
      </c>
      <c r="F327" s="151">
        <v>16</v>
      </c>
      <c r="G327" s="151">
        <v>196.32</v>
      </c>
      <c r="H327" s="151">
        <v>16</v>
      </c>
      <c r="I327" s="151">
        <v>196.32</v>
      </c>
      <c r="J327" s="151">
        <v>0</v>
      </c>
      <c r="K327" s="151">
        <v>0</v>
      </c>
      <c r="L327" s="58">
        <f>IF(K327&gt;=0,K327,0)</f>
        <v>0</v>
      </c>
      <c r="M327" s="58">
        <f>IF(K327&lt;=0,K327,0)</f>
        <v>0</v>
      </c>
      <c r="N327" s="58">
        <f>L327+-M327</f>
        <v>0</v>
      </c>
      <c r="O327" s="19"/>
      <c r="P327" s="19">
        <f t="shared" ref="P327:P390" si="15">N327/$N$1055</f>
        <v>0</v>
      </c>
      <c r="Q327" s="19">
        <f t="shared" si="14"/>
        <v>0</v>
      </c>
    </row>
    <row r="328" spans="2:17" x14ac:dyDescent="0.2">
      <c r="B328" s="149">
        <v>2030137</v>
      </c>
      <c r="C328" s="149" t="s">
        <v>155</v>
      </c>
      <c r="D328" s="150" t="s">
        <v>54</v>
      </c>
      <c r="E328" s="151">
        <v>12.250916999999999</v>
      </c>
      <c r="F328" s="151">
        <v>43</v>
      </c>
      <c r="G328" s="151">
        <v>526.78943100000004</v>
      </c>
      <c r="H328" s="151">
        <v>43</v>
      </c>
      <c r="I328" s="151">
        <v>526.78943100000004</v>
      </c>
      <c r="J328" s="151">
        <v>0</v>
      </c>
      <c r="K328" s="151">
        <v>0</v>
      </c>
      <c r="L328" s="58">
        <f>IF(K328&gt;=0,K328,0)</f>
        <v>0</v>
      </c>
      <c r="M328" s="58">
        <f>IF(K328&lt;=0,K328,0)</f>
        <v>0</v>
      </c>
      <c r="N328" s="58">
        <f>L328+-M328</f>
        <v>0</v>
      </c>
      <c r="O328" s="19"/>
      <c r="P328" s="19">
        <f t="shared" si="15"/>
        <v>0</v>
      </c>
      <c r="Q328" s="19">
        <f t="shared" si="14"/>
        <v>0</v>
      </c>
    </row>
    <row r="329" spans="2:17" x14ac:dyDescent="0.2">
      <c r="B329" s="149">
        <v>2030135</v>
      </c>
      <c r="C329" s="149" t="s">
        <v>371</v>
      </c>
      <c r="D329" s="150" t="s">
        <v>54</v>
      </c>
      <c r="E329" s="151">
        <v>18.119043999999999</v>
      </c>
      <c r="F329" s="151">
        <v>55</v>
      </c>
      <c r="G329" s="151">
        <v>996.54741999999999</v>
      </c>
      <c r="H329" s="151">
        <v>55</v>
      </c>
      <c r="I329" s="151">
        <v>996.54741999999999</v>
      </c>
      <c r="J329" s="151">
        <v>0</v>
      </c>
      <c r="K329" s="151">
        <v>0</v>
      </c>
      <c r="L329" s="58">
        <f>IF(K329&gt;=0,K329,0)</f>
        <v>0</v>
      </c>
      <c r="M329" s="58">
        <f>IF(K329&lt;=0,K329,0)</f>
        <v>0</v>
      </c>
      <c r="N329" s="58">
        <f>L329+-M329</f>
        <v>0</v>
      </c>
      <c r="O329" s="19"/>
      <c r="P329" s="19">
        <f t="shared" si="15"/>
        <v>0</v>
      </c>
      <c r="Q329" s="19">
        <f t="shared" si="14"/>
        <v>0</v>
      </c>
    </row>
    <row r="330" spans="2:17" x14ac:dyDescent="0.2">
      <c r="B330" s="149">
        <v>1020234871</v>
      </c>
      <c r="C330" s="149" t="s">
        <v>475</v>
      </c>
      <c r="D330" s="150" t="s">
        <v>54</v>
      </c>
      <c r="E330" s="151">
        <v>7.45</v>
      </c>
      <c r="F330" s="151">
        <v>48</v>
      </c>
      <c r="G330" s="151">
        <v>357.6</v>
      </c>
      <c r="H330" s="151">
        <v>48</v>
      </c>
      <c r="I330" s="151">
        <v>357.6</v>
      </c>
      <c r="J330" s="151">
        <v>0</v>
      </c>
      <c r="K330" s="151">
        <v>0</v>
      </c>
      <c r="L330" s="58">
        <f>IF(K330&gt;=0,K330,0)</f>
        <v>0</v>
      </c>
      <c r="M330" s="58">
        <f>IF(K330&lt;=0,K330,0)</f>
        <v>0</v>
      </c>
      <c r="N330" s="58">
        <f>L330+-M330</f>
        <v>0</v>
      </c>
      <c r="O330" s="19"/>
      <c r="P330" s="19">
        <f t="shared" si="15"/>
        <v>0</v>
      </c>
      <c r="Q330" s="19">
        <f t="shared" si="14"/>
        <v>0</v>
      </c>
    </row>
    <row r="331" spans="2:17" x14ac:dyDescent="0.2">
      <c r="B331" s="149">
        <v>1020234870</v>
      </c>
      <c r="C331" s="149" t="s">
        <v>476</v>
      </c>
      <c r="D331" s="150" t="s">
        <v>54</v>
      </c>
      <c r="E331" s="151">
        <v>7.86</v>
      </c>
      <c r="F331" s="151">
        <v>177</v>
      </c>
      <c r="G331" s="152">
        <v>1391.22</v>
      </c>
      <c r="H331" s="151">
        <v>177</v>
      </c>
      <c r="I331" s="152">
        <v>1391.22</v>
      </c>
      <c r="J331" s="151">
        <v>0</v>
      </c>
      <c r="K331" s="151">
        <v>0</v>
      </c>
      <c r="L331" s="58">
        <f>IF(K331&gt;=0,K331,0)</f>
        <v>0</v>
      </c>
      <c r="M331" s="58">
        <f>IF(K331&lt;=0,K331,0)</f>
        <v>0</v>
      </c>
      <c r="N331" s="58">
        <f>L331+-M331</f>
        <v>0</v>
      </c>
      <c r="O331" s="19"/>
      <c r="P331" s="19">
        <f t="shared" si="15"/>
        <v>0</v>
      </c>
      <c r="Q331" s="19">
        <f t="shared" si="14"/>
        <v>0</v>
      </c>
    </row>
    <row r="332" spans="2:17" x14ac:dyDescent="0.2">
      <c r="B332" s="149">
        <v>10208037559</v>
      </c>
      <c r="C332" s="149" t="s">
        <v>398</v>
      </c>
      <c r="D332" s="150" t="s">
        <v>54</v>
      </c>
      <c r="E332" s="151">
        <v>34.11</v>
      </c>
      <c r="F332" s="151">
        <v>1</v>
      </c>
      <c r="G332" s="151">
        <v>34.11</v>
      </c>
      <c r="H332" s="151">
        <v>1</v>
      </c>
      <c r="I332" s="151">
        <v>34.11</v>
      </c>
      <c r="J332" s="151">
        <v>0</v>
      </c>
      <c r="K332" s="151">
        <v>0</v>
      </c>
      <c r="L332" s="58">
        <f>IF(K332&gt;=0,K332,0)</f>
        <v>0</v>
      </c>
      <c r="M332" s="58">
        <f>IF(K332&lt;=0,K332,0)</f>
        <v>0</v>
      </c>
      <c r="N332" s="58">
        <f>L332+-M332</f>
        <v>0</v>
      </c>
      <c r="O332" s="19"/>
      <c r="P332" s="19">
        <f t="shared" si="15"/>
        <v>0</v>
      </c>
      <c r="Q332" s="19">
        <f t="shared" si="14"/>
        <v>0</v>
      </c>
    </row>
    <row r="333" spans="2:17" x14ac:dyDescent="0.2">
      <c r="B333" s="149">
        <v>10208037589</v>
      </c>
      <c r="C333" s="149" t="s">
        <v>188</v>
      </c>
      <c r="D333" s="150" t="s">
        <v>54</v>
      </c>
      <c r="E333" s="151">
        <v>31.17</v>
      </c>
      <c r="F333" s="151">
        <v>1</v>
      </c>
      <c r="G333" s="151">
        <v>31.17</v>
      </c>
      <c r="H333" s="151">
        <v>1</v>
      </c>
      <c r="I333" s="151">
        <v>31.17</v>
      </c>
      <c r="J333" s="151">
        <v>0</v>
      </c>
      <c r="K333" s="151">
        <v>0</v>
      </c>
      <c r="L333" s="58">
        <f>IF(K333&gt;=0,K333,0)</f>
        <v>0</v>
      </c>
      <c r="M333" s="58">
        <f>IF(K333&lt;=0,K333,0)</f>
        <v>0</v>
      </c>
      <c r="N333" s="58">
        <f>L333+-M333</f>
        <v>0</v>
      </c>
      <c r="O333" s="19"/>
      <c r="P333" s="19">
        <f t="shared" si="15"/>
        <v>0</v>
      </c>
      <c r="Q333" s="19">
        <f t="shared" si="14"/>
        <v>0</v>
      </c>
    </row>
    <row r="334" spans="2:17" x14ac:dyDescent="0.2">
      <c r="B334" s="149">
        <v>10208037591</v>
      </c>
      <c r="C334" s="149" t="s">
        <v>268</v>
      </c>
      <c r="D334" s="150" t="s">
        <v>56</v>
      </c>
      <c r="E334" s="151">
        <v>67.7</v>
      </c>
      <c r="F334" s="151">
        <v>4</v>
      </c>
      <c r="G334" s="151">
        <v>270.8</v>
      </c>
      <c r="H334" s="151">
        <v>4</v>
      </c>
      <c r="I334" s="151">
        <v>270.8</v>
      </c>
      <c r="J334" s="151">
        <v>0</v>
      </c>
      <c r="K334" s="151">
        <v>0</v>
      </c>
      <c r="L334" s="58">
        <f>IF(K334&gt;=0,K334,0)</f>
        <v>0</v>
      </c>
      <c r="M334" s="58">
        <f>IF(K334&lt;=0,K334,0)</f>
        <v>0</v>
      </c>
      <c r="N334" s="58">
        <f>L334+-M334</f>
        <v>0</v>
      </c>
      <c r="O334" s="19"/>
      <c r="P334" s="19">
        <f t="shared" si="15"/>
        <v>0</v>
      </c>
      <c r="Q334" s="19">
        <f t="shared" si="14"/>
        <v>0</v>
      </c>
    </row>
    <row r="335" spans="2:17" x14ac:dyDescent="0.2">
      <c r="B335" s="149">
        <v>10208041192</v>
      </c>
      <c r="C335" s="149" t="s">
        <v>373</v>
      </c>
      <c r="D335" s="150" t="s">
        <v>54</v>
      </c>
      <c r="E335" s="151">
        <v>2.14</v>
      </c>
      <c r="F335" s="151">
        <v>18</v>
      </c>
      <c r="G335" s="151">
        <v>38.520000000000003</v>
      </c>
      <c r="H335" s="151">
        <v>18</v>
      </c>
      <c r="I335" s="151">
        <v>38.520000000000003</v>
      </c>
      <c r="J335" s="151">
        <v>0</v>
      </c>
      <c r="K335" s="151">
        <v>0</v>
      </c>
      <c r="L335" s="58">
        <f>IF(K335&gt;=0,K335,0)</f>
        <v>0</v>
      </c>
      <c r="M335" s="58">
        <f>IF(K335&lt;=0,K335,0)</f>
        <v>0</v>
      </c>
      <c r="N335" s="58">
        <f>L335+-M335</f>
        <v>0</v>
      </c>
      <c r="O335" s="19"/>
      <c r="P335" s="19">
        <f t="shared" si="15"/>
        <v>0</v>
      </c>
      <c r="Q335" s="19">
        <f t="shared" si="14"/>
        <v>0</v>
      </c>
    </row>
    <row r="336" spans="2:17" x14ac:dyDescent="0.2">
      <c r="B336" s="149">
        <v>40304000001</v>
      </c>
      <c r="C336" s="149" t="s">
        <v>156</v>
      </c>
      <c r="D336" s="150" t="s">
        <v>51</v>
      </c>
      <c r="E336" s="151">
        <v>9.2490159999999992</v>
      </c>
      <c r="F336" s="151">
        <v>16</v>
      </c>
      <c r="G336" s="151">
        <v>147.98425599999999</v>
      </c>
      <c r="H336" s="151">
        <v>16</v>
      </c>
      <c r="I336" s="151">
        <v>147.98425599999999</v>
      </c>
      <c r="J336" s="151">
        <v>0</v>
      </c>
      <c r="K336" s="151">
        <v>0</v>
      </c>
      <c r="L336" s="58">
        <f>IF(K336&gt;=0,K336,0)</f>
        <v>0</v>
      </c>
      <c r="M336" s="58">
        <f>IF(K336&lt;=0,K336,0)</f>
        <v>0</v>
      </c>
      <c r="N336" s="58">
        <f>L336+-M336</f>
        <v>0</v>
      </c>
      <c r="O336" s="19"/>
      <c r="P336" s="19">
        <f t="shared" si="15"/>
        <v>0</v>
      </c>
      <c r="Q336" s="19">
        <f t="shared" si="14"/>
        <v>0</v>
      </c>
    </row>
    <row r="337" spans="2:17" x14ac:dyDescent="0.2">
      <c r="B337" s="149">
        <v>102020091</v>
      </c>
      <c r="C337" s="149" t="s">
        <v>157</v>
      </c>
      <c r="D337" s="150" t="s">
        <v>51</v>
      </c>
      <c r="E337" s="151">
        <v>8.1264640000000004</v>
      </c>
      <c r="F337" s="151">
        <v>222</v>
      </c>
      <c r="G337" s="152">
        <v>1804.075008</v>
      </c>
      <c r="H337" s="151">
        <v>222</v>
      </c>
      <c r="I337" s="152">
        <v>1804.075008</v>
      </c>
      <c r="J337" s="151">
        <v>0</v>
      </c>
      <c r="K337" s="151">
        <v>0</v>
      </c>
      <c r="L337" s="58">
        <f>IF(K337&gt;=0,K337,0)</f>
        <v>0</v>
      </c>
      <c r="M337" s="58">
        <f>IF(K337&lt;=0,K337,0)</f>
        <v>0</v>
      </c>
      <c r="N337" s="58">
        <f>L337+-M337</f>
        <v>0</v>
      </c>
      <c r="O337" s="19"/>
      <c r="P337" s="19">
        <f t="shared" si="15"/>
        <v>0</v>
      </c>
      <c r="Q337" s="19">
        <f t="shared" si="14"/>
        <v>0</v>
      </c>
    </row>
    <row r="338" spans="2:17" x14ac:dyDescent="0.2">
      <c r="B338" s="149">
        <v>102020094</v>
      </c>
      <c r="C338" s="149" t="s">
        <v>430</v>
      </c>
      <c r="D338" s="150" t="s">
        <v>51</v>
      </c>
      <c r="E338" s="151">
        <v>6.5</v>
      </c>
      <c r="F338" s="151">
        <v>8</v>
      </c>
      <c r="G338" s="151">
        <v>52</v>
      </c>
      <c r="H338" s="151">
        <v>8</v>
      </c>
      <c r="I338" s="151">
        <v>52</v>
      </c>
      <c r="J338" s="151">
        <v>0</v>
      </c>
      <c r="K338" s="151">
        <v>0</v>
      </c>
      <c r="L338" s="58">
        <f>IF(K338&gt;=0,K338,0)</f>
        <v>0</v>
      </c>
      <c r="M338" s="58">
        <f>IF(K338&lt;=0,K338,0)</f>
        <v>0</v>
      </c>
      <c r="N338" s="58">
        <f>L338+-M338</f>
        <v>0</v>
      </c>
      <c r="O338" s="19"/>
      <c r="P338" s="19">
        <f t="shared" si="15"/>
        <v>0</v>
      </c>
      <c r="Q338" s="19">
        <f t="shared" si="14"/>
        <v>0</v>
      </c>
    </row>
    <row r="339" spans="2:17" x14ac:dyDescent="0.2">
      <c r="B339" s="149">
        <v>102020099</v>
      </c>
      <c r="C339" s="149" t="s">
        <v>158</v>
      </c>
      <c r="D339" s="150" t="s">
        <v>51</v>
      </c>
      <c r="E339" s="151">
        <v>8.1286740000000002</v>
      </c>
      <c r="F339" s="151">
        <v>220</v>
      </c>
      <c r="G339" s="152">
        <v>1788.30828</v>
      </c>
      <c r="H339" s="151">
        <v>220</v>
      </c>
      <c r="I339" s="152">
        <v>1788.30828</v>
      </c>
      <c r="J339" s="151">
        <v>0</v>
      </c>
      <c r="K339" s="151">
        <v>0</v>
      </c>
      <c r="L339" s="58">
        <f>IF(K339&gt;=0,K339,0)</f>
        <v>0</v>
      </c>
      <c r="M339" s="58">
        <f>IF(K339&lt;=0,K339,0)</f>
        <v>0</v>
      </c>
      <c r="N339" s="58">
        <f>L339+-M339</f>
        <v>0</v>
      </c>
      <c r="O339" s="19"/>
      <c r="P339" s="19">
        <f t="shared" si="15"/>
        <v>0</v>
      </c>
      <c r="Q339" s="19">
        <f t="shared" si="14"/>
        <v>0</v>
      </c>
    </row>
    <row r="340" spans="2:17" x14ac:dyDescent="0.2">
      <c r="B340" s="149">
        <v>101070015</v>
      </c>
      <c r="C340" s="149" t="s">
        <v>159</v>
      </c>
      <c r="D340" s="150" t="s">
        <v>54</v>
      </c>
      <c r="E340" s="151">
        <v>32.384912</v>
      </c>
      <c r="F340" s="151">
        <v>2</v>
      </c>
      <c r="G340" s="151">
        <v>64.769824</v>
      </c>
      <c r="H340" s="151">
        <v>2</v>
      </c>
      <c r="I340" s="151">
        <v>64.769824</v>
      </c>
      <c r="J340" s="151">
        <v>0</v>
      </c>
      <c r="K340" s="151">
        <v>0</v>
      </c>
      <c r="L340" s="58">
        <f>IF(K340&gt;=0,K340,0)</f>
        <v>0</v>
      </c>
      <c r="M340" s="58">
        <f>IF(K340&lt;=0,K340,0)</f>
        <v>0</v>
      </c>
      <c r="N340" s="58">
        <f>L340+-M340</f>
        <v>0</v>
      </c>
      <c r="O340" s="19"/>
      <c r="P340" s="19">
        <f t="shared" si="15"/>
        <v>0</v>
      </c>
      <c r="Q340" s="19">
        <f t="shared" si="14"/>
        <v>0</v>
      </c>
    </row>
    <row r="341" spans="2:17" x14ac:dyDescent="0.2">
      <c r="B341" s="149">
        <v>5050622213</v>
      </c>
      <c r="C341" s="149" t="s">
        <v>161</v>
      </c>
      <c r="D341" s="150" t="s">
        <v>51</v>
      </c>
      <c r="E341" s="151">
        <v>22.82</v>
      </c>
      <c r="F341" s="151">
        <v>31.3</v>
      </c>
      <c r="G341" s="151">
        <v>714.26599999999996</v>
      </c>
      <c r="H341" s="151">
        <v>31.3</v>
      </c>
      <c r="I341" s="151">
        <v>714.26599999999996</v>
      </c>
      <c r="J341" s="151">
        <v>0</v>
      </c>
      <c r="K341" s="151">
        <v>0</v>
      </c>
      <c r="L341" s="58">
        <f>IF(K341&gt;=0,K341,0)</f>
        <v>0</v>
      </c>
      <c r="M341" s="58">
        <f>IF(K341&lt;=0,K341,0)</f>
        <v>0</v>
      </c>
      <c r="N341" s="58">
        <f>L341+-M341</f>
        <v>0</v>
      </c>
      <c r="O341" s="19"/>
      <c r="P341" s="19">
        <f t="shared" si="15"/>
        <v>0</v>
      </c>
      <c r="Q341" s="19">
        <f t="shared" si="14"/>
        <v>0</v>
      </c>
    </row>
    <row r="342" spans="2:17" x14ac:dyDescent="0.2">
      <c r="B342" s="149">
        <v>50506043088</v>
      </c>
      <c r="C342" s="149" t="s">
        <v>374</v>
      </c>
      <c r="D342" s="150" t="s">
        <v>51</v>
      </c>
      <c r="E342" s="151">
        <v>26.52</v>
      </c>
      <c r="F342" s="151">
        <v>3.5</v>
      </c>
      <c r="G342" s="151">
        <v>92.82</v>
      </c>
      <c r="H342" s="151">
        <v>3.5</v>
      </c>
      <c r="I342" s="151">
        <v>92.82</v>
      </c>
      <c r="J342" s="151">
        <v>0</v>
      </c>
      <c r="K342" s="151">
        <v>0</v>
      </c>
      <c r="L342" s="58">
        <f>IF(K342&gt;=0,K342,0)</f>
        <v>0</v>
      </c>
      <c r="M342" s="58">
        <f>IF(K342&lt;=0,K342,0)</f>
        <v>0</v>
      </c>
      <c r="N342" s="58">
        <f>L342+-M342</f>
        <v>0</v>
      </c>
      <c r="O342" s="19"/>
      <c r="P342" s="19">
        <f t="shared" si="15"/>
        <v>0</v>
      </c>
      <c r="Q342" s="19">
        <f t="shared" si="14"/>
        <v>0</v>
      </c>
    </row>
    <row r="343" spans="2:17" x14ac:dyDescent="0.2">
      <c r="B343" s="149">
        <v>1010830134</v>
      </c>
      <c r="C343" s="149" t="s">
        <v>162</v>
      </c>
      <c r="D343" s="150" t="s">
        <v>54</v>
      </c>
      <c r="E343" s="151">
        <v>60.984631999999998</v>
      </c>
      <c r="F343" s="151">
        <v>20</v>
      </c>
      <c r="G343" s="152">
        <v>1219.69264</v>
      </c>
      <c r="H343" s="151">
        <v>20</v>
      </c>
      <c r="I343" s="152">
        <v>1219.69264</v>
      </c>
      <c r="J343" s="151">
        <v>0</v>
      </c>
      <c r="K343" s="151">
        <v>0</v>
      </c>
      <c r="L343" s="58">
        <f>IF(K343&gt;=0,K343,0)</f>
        <v>0</v>
      </c>
      <c r="M343" s="58">
        <f>IF(K343&lt;=0,K343,0)</f>
        <v>0</v>
      </c>
      <c r="N343" s="58">
        <f>L343+-M343</f>
        <v>0</v>
      </c>
      <c r="O343" s="19"/>
      <c r="P343" s="19">
        <f t="shared" si="15"/>
        <v>0</v>
      </c>
      <c r="Q343" s="19">
        <f t="shared" si="14"/>
        <v>0</v>
      </c>
    </row>
    <row r="344" spans="2:17" x14ac:dyDescent="0.2">
      <c r="B344" s="149">
        <v>4010831903</v>
      </c>
      <c r="C344" s="149" t="s">
        <v>375</v>
      </c>
      <c r="D344" s="150" t="s">
        <v>51</v>
      </c>
      <c r="E344" s="151">
        <v>24.284064999999998</v>
      </c>
      <c r="F344" s="151">
        <v>197.4</v>
      </c>
      <c r="G344" s="152">
        <v>4793.6744310000004</v>
      </c>
      <c r="H344" s="151">
        <v>197.4</v>
      </c>
      <c r="I344" s="152">
        <v>4793.6744310000004</v>
      </c>
      <c r="J344" s="151">
        <v>0</v>
      </c>
      <c r="K344" s="151">
        <v>0</v>
      </c>
      <c r="L344" s="58">
        <f>IF(K344&gt;=0,K344,0)</f>
        <v>0</v>
      </c>
      <c r="M344" s="58">
        <f>IF(K344&lt;=0,K344,0)</f>
        <v>0</v>
      </c>
      <c r="N344" s="58">
        <f>L344+-M344</f>
        <v>0</v>
      </c>
      <c r="O344" s="19"/>
      <c r="P344" s="19">
        <f t="shared" si="15"/>
        <v>0</v>
      </c>
      <c r="Q344" s="19">
        <f t="shared" si="14"/>
        <v>0</v>
      </c>
    </row>
    <row r="345" spans="2:17" x14ac:dyDescent="0.2">
      <c r="B345" s="149">
        <v>40108037516</v>
      </c>
      <c r="C345" s="149" t="s">
        <v>293</v>
      </c>
      <c r="D345" s="150" t="s">
        <v>51</v>
      </c>
      <c r="E345" s="151">
        <v>23.109572</v>
      </c>
      <c r="F345" s="151">
        <v>200.95</v>
      </c>
      <c r="G345" s="152">
        <v>4643.8684929999999</v>
      </c>
      <c r="H345" s="151">
        <v>200.95</v>
      </c>
      <c r="I345" s="152">
        <v>4643.8684929999999</v>
      </c>
      <c r="J345" s="151">
        <v>0</v>
      </c>
      <c r="K345" s="151">
        <v>0</v>
      </c>
      <c r="L345" s="58">
        <f>IF(K345&gt;=0,K345,0)</f>
        <v>0</v>
      </c>
      <c r="M345" s="58">
        <f>IF(K345&lt;=0,K345,0)</f>
        <v>0</v>
      </c>
      <c r="N345" s="58">
        <f>L345+-M345</f>
        <v>0</v>
      </c>
      <c r="O345" s="19"/>
      <c r="P345" s="19">
        <f t="shared" si="15"/>
        <v>0</v>
      </c>
      <c r="Q345" s="19">
        <f t="shared" si="14"/>
        <v>0</v>
      </c>
    </row>
    <row r="346" spans="2:17" x14ac:dyDescent="0.2">
      <c r="B346" s="149">
        <v>1020530602</v>
      </c>
      <c r="C346" s="149" t="s">
        <v>230</v>
      </c>
      <c r="D346" s="150" t="s">
        <v>54</v>
      </c>
      <c r="E346" s="151">
        <v>10</v>
      </c>
      <c r="F346" s="151">
        <v>1</v>
      </c>
      <c r="G346" s="151">
        <v>10</v>
      </c>
      <c r="H346" s="151">
        <v>1</v>
      </c>
      <c r="I346" s="151">
        <v>10</v>
      </c>
      <c r="J346" s="151">
        <v>0</v>
      </c>
      <c r="K346" s="151">
        <v>0</v>
      </c>
      <c r="L346" s="58">
        <f>IF(K346&gt;=0,K346,0)</f>
        <v>0</v>
      </c>
      <c r="M346" s="58">
        <f>IF(K346&lt;=0,K346,0)</f>
        <v>0</v>
      </c>
      <c r="N346" s="58">
        <f>L346+-M346</f>
        <v>0</v>
      </c>
      <c r="O346" s="19"/>
      <c r="P346" s="19">
        <f t="shared" si="15"/>
        <v>0</v>
      </c>
      <c r="Q346" s="19">
        <f t="shared" si="14"/>
        <v>0</v>
      </c>
    </row>
    <row r="347" spans="2:17" x14ac:dyDescent="0.2">
      <c r="B347" s="149">
        <v>101050537</v>
      </c>
      <c r="C347" s="149" t="s">
        <v>163</v>
      </c>
      <c r="D347" s="150" t="s">
        <v>65</v>
      </c>
      <c r="E347" s="151">
        <v>17.5</v>
      </c>
      <c r="F347" s="151">
        <v>55</v>
      </c>
      <c r="G347" s="151">
        <v>962.5</v>
      </c>
      <c r="H347" s="151">
        <v>55</v>
      </c>
      <c r="I347" s="151">
        <v>962.5</v>
      </c>
      <c r="J347" s="151">
        <v>0</v>
      </c>
      <c r="K347" s="151">
        <v>0</v>
      </c>
      <c r="L347" s="58">
        <f>IF(K347&gt;=0,K347,0)</f>
        <v>0</v>
      </c>
      <c r="M347" s="58">
        <f>IF(K347&lt;=0,K347,0)</f>
        <v>0</v>
      </c>
      <c r="N347" s="58">
        <f>L347+-M347</f>
        <v>0</v>
      </c>
      <c r="O347" s="19"/>
      <c r="P347" s="19">
        <f t="shared" si="15"/>
        <v>0</v>
      </c>
      <c r="Q347" s="19">
        <f t="shared" si="14"/>
        <v>0</v>
      </c>
    </row>
    <row r="348" spans="2:17" x14ac:dyDescent="0.2">
      <c r="B348" s="149">
        <v>102040074</v>
      </c>
      <c r="C348" s="149" t="s">
        <v>164</v>
      </c>
      <c r="D348" s="150" t="s">
        <v>51</v>
      </c>
      <c r="E348" s="151">
        <v>17.577999999999999</v>
      </c>
      <c r="F348" s="151">
        <v>21</v>
      </c>
      <c r="G348" s="151">
        <v>369.13799999999998</v>
      </c>
      <c r="H348" s="151">
        <v>21</v>
      </c>
      <c r="I348" s="151">
        <v>369.13799999999998</v>
      </c>
      <c r="J348" s="151">
        <v>0</v>
      </c>
      <c r="K348" s="151">
        <v>0</v>
      </c>
      <c r="L348" s="58">
        <f>IF(K348&gt;=0,K348,0)</f>
        <v>0</v>
      </c>
      <c r="M348" s="58">
        <f>IF(K348&lt;=0,K348,0)</f>
        <v>0</v>
      </c>
      <c r="N348" s="58">
        <f>L348+-M348</f>
        <v>0</v>
      </c>
      <c r="O348" s="19"/>
      <c r="P348" s="19">
        <f t="shared" si="15"/>
        <v>0</v>
      </c>
      <c r="Q348" s="19">
        <f t="shared" si="14"/>
        <v>0</v>
      </c>
    </row>
    <row r="349" spans="2:17" x14ac:dyDescent="0.2">
      <c r="B349" s="149">
        <v>506041478</v>
      </c>
      <c r="C349" s="149" t="s">
        <v>295</v>
      </c>
      <c r="D349" s="150" t="s">
        <v>54</v>
      </c>
      <c r="E349" s="151">
        <v>10</v>
      </c>
      <c r="F349" s="151">
        <v>6</v>
      </c>
      <c r="G349" s="151">
        <v>60</v>
      </c>
      <c r="H349" s="151">
        <v>6</v>
      </c>
      <c r="I349" s="151">
        <v>60</v>
      </c>
      <c r="J349" s="151">
        <v>0</v>
      </c>
      <c r="K349" s="151">
        <v>0</v>
      </c>
      <c r="L349" s="58">
        <f>IF(K349&gt;=0,K349,0)</f>
        <v>0</v>
      </c>
      <c r="M349" s="58">
        <f>IF(K349&lt;=0,K349,0)</f>
        <v>0</v>
      </c>
      <c r="N349" s="58">
        <f>L349+-M349</f>
        <v>0</v>
      </c>
      <c r="O349" s="19"/>
      <c r="P349" s="19">
        <f t="shared" si="15"/>
        <v>0</v>
      </c>
      <c r="Q349" s="19">
        <f t="shared" si="14"/>
        <v>0</v>
      </c>
    </row>
    <row r="350" spans="2:17" x14ac:dyDescent="0.2">
      <c r="B350" s="149">
        <v>1020233574</v>
      </c>
      <c r="C350" s="149" t="s">
        <v>432</v>
      </c>
      <c r="D350" s="150" t="s">
        <v>54</v>
      </c>
      <c r="E350" s="151">
        <v>10.5</v>
      </c>
      <c r="F350" s="151">
        <v>20</v>
      </c>
      <c r="G350" s="151">
        <v>210</v>
      </c>
      <c r="H350" s="151">
        <v>20</v>
      </c>
      <c r="I350" s="151">
        <v>210</v>
      </c>
      <c r="J350" s="151">
        <v>0</v>
      </c>
      <c r="K350" s="151">
        <v>0</v>
      </c>
      <c r="L350" s="58">
        <f>IF(K350&gt;=0,K350,0)</f>
        <v>0</v>
      </c>
      <c r="M350" s="58">
        <f>IF(K350&lt;=0,K350,0)</f>
        <v>0</v>
      </c>
      <c r="N350" s="58">
        <f>L350+-M350</f>
        <v>0</v>
      </c>
      <c r="O350" s="19"/>
      <c r="P350" s="19">
        <f t="shared" si="15"/>
        <v>0</v>
      </c>
      <c r="Q350" s="19">
        <f t="shared" si="14"/>
        <v>0</v>
      </c>
    </row>
    <row r="351" spans="2:17" x14ac:dyDescent="0.2">
      <c r="B351" s="149">
        <v>506041479</v>
      </c>
      <c r="C351" s="149" t="s">
        <v>478</v>
      </c>
      <c r="D351" s="150" t="s">
        <v>54</v>
      </c>
      <c r="E351" s="151">
        <v>12.8</v>
      </c>
      <c r="F351" s="151">
        <v>1</v>
      </c>
      <c r="G351" s="151">
        <v>12.8</v>
      </c>
      <c r="H351" s="151">
        <v>1</v>
      </c>
      <c r="I351" s="151">
        <v>12.8</v>
      </c>
      <c r="J351" s="151">
        <v>0</v>
      </c>
      <c r="K351" s="151">
        <v>0</v>
      </c>
      <c r="L351" s="58">
        <f>IF(K351&gt;=0,K351,0)</f>
        <v>0</v>
      </c>
      <c r="M351" s="58">
        <f>IF(K351&lt;=0,K351,0)</f>
        <v>0</v>
      </c>
      <c r="N351" s="58">
        <f>L351+-M351</f>
        <v>0</v>
      </c>
      <c r="O351" s="19"/>
      <c r="P351" s="19">
        <f t="shared" si="15"/>
        <v>0</v>
      </c>
      <c r="Q351" s="19">
        <f t="shared" si="14"/>
        <v>0</v>
      </c>
    </row>
    <row r="352" spans="2:17" x14ac:dyDescent="0.2">
      <c r="B352" s="149">
        <v>10209040690</v>
      </c>
      <c r="C352" s="149" t="s">
        <v>339</v>
      </c>
      <c r="D352" s="150" t="s">
        <v>75</v>
      </c>
      <c r="E352" s="151">
        <v>5.0830000000000002</v>
      </c>
      <c r="F352" s="151">
        <v>8</v>
      </c>
      <c r="G352" s="151">
        <v>40.664000000000001</v>
      </c>
      <c r="H352" s="151">
        <v>8</v>
      </c>
      <c r="I352" s="151">
        <v>40.664000000000001</v>
      </c>
      <c r="J352" s="151">
        <v>0</v>
      </c>
      <c r="K352" s="151">
        <v>0</v>
      </c>
      <c r="L352" s="58">
        <f>IF(K352&gt;=0,K352,0)</f>
        <v>0</v>
      </c>
      <c r="M352" s="58">
        <f>IF(K352&lt;=0,K352,0)</f>
        <v>0</v>
      </c>
      <c r="N352" s="58">
        <f>L352+-M352</f>
        <v>0</v>
      </c>
      <c r="O352" s="19"/>
      <c r="P352" s="19">
        <f t="shared" si="15"/>
        <v>0</v>
      </c>
      <c r="Q352" s="19">
        <f t="shared" si="14"/>
        <v>0</v>
      </c>
    </row>
    <row r="353" spans="2:17" x14ac:dyDescent="0.2">
      <c r="B353" s="149">
        <v>1020233573</v>
      </c>
      <c r="C353" s="149" t="s">
        <v>231</v>
      </c>
      <c r="D353" s="150" t="s">
        <v>54</v>
      </c>
      <c r="E353" s="151">
        <v>13</v>
      </c>
      <c r="F353" s="151">
        <v>18</v>
      </c>
      <c r="G353" s="151">
        <v>234</v>
      </c>
      <c r="H353" s="151">
        <v>18</v>
      </c>
      <c r="I353" s="151">
        <v>234</v>
      </c>
      <c r="J353" s="151">
        <v>0</v>
      </c>
      <c r="K353" s="151">
        <v>0</v>
      </c>
      <c r="L353" s="58">
        <f>IF(K353&gt;=0,K353,0)</f>
        <v>0</v>
      </c>
      <c r="M353" s="58">
        <f>IF(K353&lt;=0,K353,0)</f>
        <v>0</v>
      </c>
      <c r="N353" s="58">
        <f>L353+-M353</f>
        <v>0</v>
      </c>
      <c r="O353" s="19"/>
      <c r="P353" s="19">
        <f t="shared" si="15"/>
        <v>0</v>
      </c>
      <c r="Q353" s="19">
        <f t="shared" si="14"/>
        <v>0</v>
      </c>
    </row>
    <row r="354" spans="2:17" x14ac:dyDescent="0.2">
      <c r="B354" s="149">
        <v>10209042792</v>
      </c>
      <c r="C354" s="149" t="s">
        <v>340</v>
      </c>
      <c r="D354" s="150" t="s">
        <v>48</v>
      </c>
      <c r="E354" s="151">
        <v>19.07</v>
      </c>
      <c r="F354" s="151">
        <v>9</v>
      </c>
      <c r="G354" s="151">
        <v>171.63</v>
      </c>
      <c r="H354" s="151">
        <v>9</v>
      </c>
      <c r="I354" s="151">
        <v>171.63</v>
      </c>
      <c r="J354" s="151">
        <v>0</v>
      </c>
      <c r="K354" s="151">
        <v>0</v>
      </c>
      <c r="L354" s="58">
        <f>IF(K354&gt;=0,K354,0)</f>
        <v>0</v>
      </c>
      <c r="M354" s="58">
        <f>IF(K354&lt;=0,K354,0)</f>
        <v>0</v>
      </c>
      <c r="N354" s="58">
        <f>L354+-M354</f>
        <v>0</v>
      </c>
      <c r="O354" s="19"/>
      <c r="P354" s="19">
        <f t="shared" si="15"/>
        <v>0</v>
      </c>
      <c r="Q354" s="19">
        <f t="shared" si="14"/>
        <v>0</v>
      </c>
    </row>
    <row r="355" spans="2:17" x14ac:dyDescent="0.2">
      <c r="B355" s="149">
        <v>102020018</v>
      </c>
      <c r="C355" s="149" t="s">
        <v>165</v>
      </c>
      <c r="D355" s="150" t="s">
        <v>51</v>
      </c>
      <c r="E355" s="151">
        <v>3.03</v>
      </c>
      <c r="F355" s="151">
        <v>99</v>
      </c>
      <c r="G355" s="151">
        <v>299.97000000000003</v>
      </c>
      <c r="H355" s="151">
        <v>99</v>
      </c>
      <c r="I355" s="151">
        <v>299.97000000000003</v>
      </c>
      <c r="J355" s="151">
        <v>0</v>
      </c>
      <c r="K355" s="151">
        <v>0</v>
      </c>
      <c r="L355" s="58">
        <f>IF(K355&gt;=0,K355,0)</f>
        <v>0</v>
      </c>
      <c r="M355" s="58">
        <f>IF(K355&lt;=0,K355,0)</f>
        <v>0</v>
      </c>
      <c r="N355" s="58">
        <f>L355+-M355</f>
        <v>0</v>
      </c>
      <c r="O355" s="19"/>
      <c r="P355" s="19">
        <f t="shared" si="15"/>
        <v>0</v>
      </c>
      <c r="Q355" s="19">
        <f t="shared" si="14"/>
        <v>0</v>
      </c>
    </row>
    <row r="356" spans="2:17" x14ac:dyDescent="0.2">
      <c r="B356" s="149">
        <v>20507043192</v>
      </c>
      <c r="C356" s="149" t="s">
        <v>376</v>
      </c>
      <c r="D356" s="150" t="s">
        <v>58</v>
      </c>
      <c r="E356" s="151">
        <v>83.33</v>
      </c>
      <c r="F356" s="151">
        <v>6</v>
      </c>
      <c r="G356" s="151">
        <v>499.98</v>
      </c>
      <c r="H356" s="151">
        <v>6</v>
      </c>
      <c r="I356" s="151">
        <v>499.98</v>
      </c>
      <c r="J356" s="151">
        <v>0</v>
      </c>
      <c r="K356" s="151">
        <v>0</v>
      </c>
      <c r="L356" s="58">
        <f>IF(K356&gt;=0,K356,0)</f>
        <v>0</v>
      </c>
      <c r="M356" s="58">
        <f>IF(K356&lt;=0,K356,0)</f>
        <v>0</v>
      </c>
      <c r="N356" s="58">
        <f>L356+-M356</f>
        <v>0</v>
      </c>
      <c r="O356" s="19"/>
      <c r="P356" s="19">
        <f t="shared" si="15"/>
        <v>0</v>
      </c>
      <c r="Q356" s="19">
        <f t="shared" si="14"/>
        <v>0</v>
      </c>
    </row>
    <row r="357" spans="2:17" x14ac:dyDescent="0.2">
      <c r="B357" s="149" t="s">
        <v>433</v>
      </c>
      <c r="C357" s="149" t="s">
        <v>434</v>
      </c>
      <c r="D357" s="150" t="s">
        <v>58</v>
      </c>
      <c r="E357" s="151">
        <v>167.59</v>
      </c>
      <c r="F357" s="151">
        <v>7</v>
      </c>
      <c r="G357" s="152">
        <v>1173.1300000000001</v>
      </c>
      <c r="H357" s="151">
        <v>7</v>
      </c>
      <c r="I357" s="152">
        <v>1173.1300000000001</v>
      </c>
      <c r="J357" s="151">
        <v>0</v>
      </c>
      <c r="K357" s="151">
        <v>0</v>
      </c>
      <c r="L357" s="58">
        <f>IF(K357&gt;=0,K357,0)</f>
        <v>0</v>
      </c>
      <c r="M357" s="58">
        <f>IF(K357&lt;=0,K357,0)</f>
        <v>0</v>
      </c>
      <c r="N357" s="58">
        <f>L357+-M357</f>
        <v>0</v>
      </c>
      <c r="O357" s="19"/>
      <c r="P357" s="19">
        <f t="shared" si="15"/>
        <v>0</v>
      </c>
      <c r="Q357" s="19">
        <f t="shared" si="14"/>
        <v>0</v>
      </c>
    </row>
    <row r="358" spans="2:17" x14ac:dyDescent="0.2">
      <c r="B358" s="149">
        <v>2020327617</v>
      </c>
      <c r="C358" s="149" t="s">
        <v>166</v>
      </c>
      <c r="D358" s="150" t="s">
        <v>58</v>
      </c>
      <c r="E358" s="151">
        <v>1.06</v>
      </c>
      <c r="F358" s="151">
        <v>360</v>
      </c>
      <c r="G358" s="151">
        <v>381.6</v>
      </c>
      <c r="H358" s="151">
        <v>360</v>
      </c>
      <c r="I358" s="151">
        <v>381.6</v>
      </c>
      <c r="J358" s="151">
        <v>0</v>
      </c>
      <c r="K358" s="151">
        <v>0</v>
      </c>
      <c r="L358" s="58">
        <f>IF(K358&gt;=0,K358,0)</f>
        <v>0</v>
      </c>
      <c r="M358" s="58">
        <f>IF(K358&lt;=0,K358,0)</f>
        <v>0</v>
      </c>
      <c r="N358" s="58">
        <f>L358+-M358</f>
        <v>0</v>
      </c>
      <c r="O358" s="19"/>
      <c r="P358" s="19">
        <f t="shared" si="15"/>
        <v>0</v>
      </c>
      <c r="Q358" s="19">
        <f t="shared" si="14"/>
        <v>0</v>
      </c>
    </row>
    <row r="359" spans="2:17" x14ac:dyDescent="0.2">
      <c r="B359" s="149" t="s">
        <v>401</v>
      </c>
      <c r="C359" s="149" t="s">
        <v>402</v>
      </c>
      <c r="D359" s="150" t="s">
        <v>58</v>
      </c>
      <c r="E359" s="151">
        <v>117.893469</v>
      </c>
      <c r="F359" s="151">
        <v>19</v>
      </c>
      <c r="G359" s="152">
        <v>2239.975911</v>
      </c>
      <c r="H359" s="151">
        <v>19</v>
      </c>
      <c r="I359" s="152">
        <v>2239.975911</v>
      </c>
      <c r="J359" s="151">
        <v>0</v>
      </c>
      <c r="K359" s="151">
        <v>0</v>
      </c>
      <c r="L359" s="58">
        <f>IF(K359&gt;=0,K359,0)</f>
        <v>0</v>
      </c>
      <c r="M359" s="58">
        <f>IF(K359&lt;=0,K359,0)</f>
        <v>0</v>
      </c>
      <c r="N359" s="58">
        <f>L359+-M359</f>
        <v>0</v>
      </c>
      <c r="O359" s="19"/>
      <c r="P359" s="19">
        <f t="shared" si="15"/>
        <v>0</v>
      </c>
      <c r="Q359" s="19">
        <f t="shared" si="14"/>
        <v>0</v>
      </c>
    </row>
    <row r="360" spans="2:17" x14ac:dyDescent="0.2">
      <c r="B360" s="149">
        <v>60204038489</v>
      </c>
      <c r="C360" s="149" t="s">
        <v>341</v>
      </c>
      <c r="D360" s="150" t="s">
        <v>67</v>
      </c>
      <c r="E360" s="151">
        <v>23.490628000000001</v>
      </c>
      <c r="F360" s="151">
        <v>24</v>
      </c>
      <c r="G360" s="151">
        <v>563.77507200000002</v>
      </c>
      <c r="H360" s="151">
        <v>24</v>
      </c>
      <c r="I360" s="151">
        <v>563.77507200000002</v>
      </c>
      <c r="J360" s="151">
        <v>0</v>
      </c>
      <c r="K360" s="151">
        <v>0</v>
      </c>
      <c r="L360" s="58">
        <f>IF(K360&gt;=0,K360,0)</f>
        <v>0</v>
      </c>
      <c r="M360" s="58">
        <f>IF(K360&lt;=0,K360,0)</f>
        <v>0</v>
      </c>
      <c r="N360" s="58">
        <f>L360+-M360</f>
        <v>0</v>
      </c>
      <c r="O360" s="19"/>
      <c r="P360" s="19">
        <f t="shared" si="15"/>
        <v>0</v>
      </c>
      <c r="Q360" s="19">
        <f t="shared" si="14"/>
        <v>0</v>
      </c>
    </row>
    <row r="361" spans="2:17" x14ac:dyDescent="0.2">
      <c r="B361" s="149">
        <v>1020231043</v>
      </c>
      <c r="C361" s="149" t="s">
        <v>479</v>
      </c>
      <c r="D361" s="150" t="s">
        <v>480</v>
      </c>
      <c r="E361" s="151">
        <v>2.4820000000000002</v>
      </c>
      <c r="F361" s="151">
        <v>591</v>
      </c>
      <c r="G361" s="152">
        <v>1466.8620000000001</v>
      </c>
      <c r="H361" s="151">
        <v>591</v>
      </c>
      <c r="I361" s="152">
        <v>1466.8620000000001</v>
      </c>
      <c r="J361" s="151">
        <v>0</v>
      </c>
      <c r="K361" s="151">
        <v>0</v>
      </c>
      <c r="L361" s="58">
        <f>IF(K361&gt;=0,K361,0)</f>
        <v>0</v>
      </c>
      <c r="M361" s="58">
        <f>IF(K361&lt;=0,K361,0)</f>
        <v>0</v>
      </c>
      <c r="N361" s="58">
        <f>L361+-M361</f>
        <v>0</v>
      </c>
      <c r="O361" s="19"/>
      <c r="P361" s="19">
        <f t="shared" si="15"/>
        <v>0</v>
      </c>
      <c r="Q361" s="19">
        <f t="shared" si="14"/>
        <v>0</v>
      </c>
    </row>
    <row r="362" spans="2:17" x14ac:dyDescent="0.2">
      <c r="B362" s="149" t="s">
        <v>269</v>
      </c>
      <c r="C362" s="149" t="s">
        <v>270</v>
      </c>
      <c r="D362" s="150" t="s">
        <v>65</v>
      </c>
      <c r="E362" s="151">
        <v>24.631</v>
      </c>
      <c r="F362" s="151">
        <v>5</v>
      </c>
      <c r="G362" s="151">
        <v>123.155</v>
      </c>
      <c r="H362" s="151">
        <v>5</v>
      </c>
      <c r="I362" s="151">
        <v>123.155</v>
      </c>
      <c r="J362" s="151">
        <v>0</v>
      </c>
      <c r="K362" s="151">
        <v>0</v>
      </c>
      <c r="L362" s="58">
        <f>IF(K362&gt;=0,K362,0)</f>
        <v>0</v>
      </c>
      <c r="M362" s="58">
        <f>IF(K362&lt;=0,K362,0)</f>
        <v>0</v>
      </c>
      <c r="N362" s="58">
        <f>L362+-M362</f>
        <v>0</v>
      </c>
      <c r="O362" s="19"/>
      <c r="P362" s="19">
        <f t="shared" si="15"/>
        <v>0</v>
      </c>
      <c r="Q362" s="19">
        <f t="shared" si="14"/>
        <v>0</v>
      </c>
    </row>
    <row r="363" spans="2:17" x14ac:dyDescent="0.2">
      <c r="B363" s="149" t="s">
        <v>232</v>
      </c>
      <c r="C363" s="149" t="s">
        <v>233</v>
      </c>
      <c r="D363" s="150" t="s">
        <v>65</v>
      </c>
      <c r="E363" s="151">
        <v>40.262999999999998</v>
      </c>
      <c r="F363" s="151">
        <v>6</v>
      </c>
      <c r="G363" s="151">
        <v>241.578</v>
      </c>
      <c r="H363" s="151">
        <v>6</v>
      </c>
      <c r="I363" s="151">
        <v>241.578</v>
      </c>
      <c r="J363" s="151">
        <v>0</v>
      </c>
      <c r="K363" s="151">
        <v>0</v>
      </c>
      <c r="L363" s="58">
        <f>IF(K363&gt;=0,K363,0)</f>
        <v>0</v>
      </c>
      <c r="M363" s="58">
        <f>IF(K363&lt;=0,K363,0)</f>
        <v>0</v>
      </c>
      <c r="N363" s="58">
        <f>L363+-M363</f>
        <v>0</v>
      </c>
      <c r="O363" s="19"/>
      <c r="P363" s="19">
        <f t="shared" si="15"/>
        <v>0</v>
      </c>
      <c r="Q363" s="19">
        <f t="shared" si="14"/>
        <v>0</v>
      </c>
    </row>
    <row r="364" spans="2:17" x14ac:dyDescent="0.2">
      <c r="B364" s="149" t="s">
        <v>481</v>
      </c>
      <c r="C364" s="149" t="s">
        <v>482</v>
      </c>
      <c r="D364" s="150" t="s">
        <v>65</v>
      </c>
      <c r="E364" s="151">
        <v>24.631</v>
      </c>
      <c r="F364" s="151">
        <v>3</v>
      </c>
      <c r="G364" s="151">
        <v>73.893000000000001</v>
      </c>
      <c r="H364" s="151">
        <v>3</v>
      </c>
      <c r="I364" s="151">
        <v>73.893000000000001</v>
      </c>
      <c r="J364" s="151">
        <v>0</v>
      </c>
      <c r="K364" s="151">
        <v>0</v>
      </c>
      <c r="L364" s="58">
        <f>IF(K364&gt;=0,K364,0)</f>
        <v>0</v>
      </c>
      <c r="M364" s="58">
        <f>IF(K364&lt;=0,K364,0)</f>
        <v>0</v>
      </c>
      <c r="N364" s="58">
        <f>L364+-M364</f>
        <v>0</v>
      </c>
      <c r="O364" s="19"/>
      <c r="P364" s="19">
        <f t="shared" si="15"/>
        <v>0</v>
      </c>
      <c r="Q364" s="19">
        <f t="shared" si="14"/>
        <v>0</v>
      </c>
    </row>
    <row r="365" spans="2:17" x14ac:dyDescent="0.2">
      <c r="B365" s="149" t="s">
        <v>234</v>
      </c>
      <c r="C365" s="149" t="s">
        <v>235</v>
      </c>
      <c r="D365" s="150" t="s">
        <v>65</v>
      </c>
      <c r="E365" s="151">
        <v>35.442999999999998</v>
      </c>
      <c r="F365" s="151">
        <v>21</v>
      </c>
      <c r="G365" s="151">
        <v>744.303</v>
      </c>
      <c r="H365" s="151">
        <v>21</v>
      </c>
      <c r="I365" s="151">
        <v>744.303</v>
      </c>
      <c r="J365" s="151">
        <v>0</v>
      </c>
      <c r="K365" s="151">
        <v>0</v>
      </c>
      <c r="L365" s="58">
        <f>IF(K365&gt;=0,K365,0)</f>
        <v>0</v>
      </c>
      <c r="M365" s="58">
        <f>IF(K365&lt;=0,K365,0)</f>
        <v>0</v>
      </c>
      <c r="N365" s="58">
        <f>L365+-M365</f>
        <v>0</v>
      </c>
      <c r="O365" s="19"/>
      <c r="P365" s="19">
        <f t="shared" si="15"/>
        <v>0</v>
      </c>
      <c r="Q365" s="19">
        <f t="shared" si="14"/>
        <v>0</v>
      </c>
    </row>
    <row r="366" spans="2:17" x14ac:dyDescent="0.2">
      <c r="B366" s="149" t="s">
        <v>236</v>
      </c>
      <c r="C366" s="149" t="s">
        <v>237</v>
      </c>
      <c r="D366" s="150" t="s">
        <v>65</v>
      </c>
      <c r="E366" s="151">
        <v>37.796999999999997</v>
      </c>
      <c r="F366" s="151">
        <v>15</v>
      </c>
      <c r="G366" s="151">
        <v>566.95500000000004</v>
      </c>
      <c r="H366" s="151">
        <v>15</v>
      </c>
      <c r="I366" s="151">
        <v>566.95500000000004</v>
      </c>
      <c r="J366" s="151">
        <v>0</v>
      </c>
      <c r="K366" s="151">
        <v>0</v>
      </c>
      <c r="L366" s="58">
        <f>IF(K366&gt;=0,K366,0)</f>
        <v>0</v>
      </c>
      <c r="M366" s="58">
        <f>IF(K366&lt;=0,K366,0)</f>
        <v>0</v>
      </c>
      <c r="N366" s="58">
        <f>L366+-M366</f>
        <v>0</v>
      </c>
      <c r="O366" s="19"/>
      <c r="P366" s="19">
        <f t="shared" si="15"/>
        <v>0</v>
      </c>
      <c r="Q366" s="19">
        <f t="shared" si="14"/>
        <v>0</v>
      </c>
    </row>
    <row r="367" spans="2:17" x14ac:dyDescent="0.2">
      <c r="B367" s="149" t="s">
        <v>296</v>
      </c>
      <c r="C367" s="149" t="s">
        <v>297</v>
      </c>
      <c r="D367" s="150" t="s">
        <v>65</v>
      </c>
      <c r="E367" s="151">
        <v>193.898</v>
      </c>
      <c r="F367" s="151">
        <v>2.2999999999999998</v>
      </c>
      <c r="G367" s="151">
        <v>445.96539999999999</v>
      </c>
      <c r="H367" s="151">
        <v>2.2999999999999998</v>
      </c>
      <c r="I367" s="151">
        <v>445.96539999999999</v>
      </c>
      <c r="J367" s="151">
        <v>0</v>
      </c>
      <c r="K367" s="151">
        <v>0</v>
      </c>
      <c r="L367" s="58">
        <f>IF(K367&gt;=0,K367,0)</f>
        <v>0</v>
      </c>
      <c r="M367" s="58">
        <f>IF(K367&lt;=0,K367,0)</f>
        <v>0</v>
      </c>
      <c r="N367" s="58">
        <f>L367+-M367</f>
        <v>0</v>
      </c>
      <c r="O367" s="19"/>
      <c r="P367" s="19">
        <f t="shared" si="15"/>
        <v>0</v>
      </c>
      <c r="Q367" s="19">
        <f t="shared" si="14"/>
        <v>0</v>
      </c>
    </row>
    <row r="368" spans="2:17" x14ac:dyDescent="0.2">
      <c r="B368" s="149">
        <v>60202043911</v>
      </c>
      <c r="C368" s="149" t="s">
        <v>403</v>
      </c>
      <c r="D368" s="150" t="s">
        <v>65</v>
      </c>
      <c r="E368" s="151">
        <v>4.88</v>
      </c>
      <c r="F368" s="151">
        <v>20</v>
      </c>
      <c r="G368" s="151">
        <v>97.6</v>
      </c>
      <c r="H368" s="151">
        <v>20</v>
      </c>
      <c r="I368" s="151">
        <v>97.6</v>
      </c>
      <c r="J368" s="151">
        <v>0</v>
      </c>
      <c r="K368" s="151">
        <v>0</v>
      </c>
      <c r="L368" s="58">
        <f>IF(K368&gt;=0,K368,0)</f>
        <v>0</v>
      </c>
      <c r="M368" s="58">
        <f>IF(K368&lt;=0,K368,0)</f>
        <v>0</v>
      </c>
      <c r="N368" s="58">
        <f>L368+-M368</f>
        <v>0</v>
      </c>
      <c r="O368" s="19"/>
      <c r="P368" s="19">
        <f t="shared" si="15"/>
        <v>0</v>
      </c>
      <c r="Q368" s="19">
        <f t="shared" si="14"/>
        <v>0</v>
      </c>
    </row>
    <row r="369" spans="2:17" x14ac:dyDescent="0.2">
      <c r="B369" s="149">
        <v>40632925</v>
      </c>
      <c r="C369" s="149" t="s">
        <v>342</v>
      </c>
      <c r="D369" s="150" t="s">
        <v>58</v>
      </c>
      <c r="E369" s="151">
        <v>0.39300000000000002</v>
      </c>
      <c r="F369" s="152">
        <v>2870</v>
      </c>
      <c r="G369" s="152">
        <v>1127.9100000000001</v>
      </c>
      <c r="H369" s="152">
        <v>2870</v>
      </c>
      <c r="I369" s="152">
        <v>1127.9100000000001</v>
      </c>
      <c r="J369" s="151">
        <v>0</v>
      </c>
      <c r="K369" s="151">
        <v>0</v>
      </c>
      <c r="L369" s="58">
        <f>IF(K369&gt;=0,K369,0)</f>
        <v>0</v>
      </c>
      <c r="M369" s="58">
        <f>IF(K369&lt;=0,K369,0)</f>
        <v>0</v>
      </c>
      <c r="N369" s="58">
        <f>L369+-M369</f>
        <v>0</v>
      </c>
      <c r="O369" s="19"/>
      <c r="P369" s="19">
        <f t="shared" si="15"/>
        <v>0</v>
      </c>
      <c r="Q369" s="19">
        <f t="shared" si="14"/>
        <v>0</v>
      </c>
    </row>
    <row r="370" spans="2:17" x14ac:dyDescent="0.2">
      <c r="B370" s="149" t="s">
        <v>377</v>
      </c>
      <c r="C370" s="149" t="s">
        <v>378</v>
      </c>
      <c r="D370" s="150" t="s">
        <v>65</v>
      </c>
      <c r="E370" s="151">
        <v>6.41</v>
      </c>
      <c r="F370" s="151">
        <v>10</v>
      </c>
      <c r="G370" s="151">
        <v>64.099999999999994</v>
      </c>
      <c r="H370" s="151">
        <v>10</v>
      </c>
      <c r="I370" s="151">
        <v>64.099999999999994</v>
      </c>
      <c r="J370" s="151">
        <v>0</v>
      </c>
      <c r="K370" s="151">
        <v>0</v>
      </c>
      <c r="L370" s="58">
        <f>IF(K370&gt;=0,K370,0)</f>
        <v>0</v>
      </c>
      <c r="M370" s="58">
        <f>IF(K370&lt;=0,K370,0)</f>
        <v>0</v>
      </c>
      <c r="N370" s="58">
        <f>L370+-M370</f>
        <v>0</v>
      </c>
      <c r="O370" s="19"/>
      <c r="P370" s="19">
        <f t="shared" si="15"/>
        <v>0</v>
      </c>
      <c r="Q370" s="19">
        <f t="shared" si="14"/>
        <v>0</v>
      </c>
    </row>
    <row r="371" spans="2:17" x14ac:dyDescent="0.2">
      <c r="B371" s="149" t="s">
        <v>343</v>
      </c>
      <c r="C371" s="149" t="s">
        <v>344</v>
      </c>
      <c r="D371" s="150" t="s">
        <v>65</v>
      </c>
      <c r="E371" s="151">
        <v>42.95</v>
      </c>
      <c r="F371" s="151">
        <v>29</v>
      </c>
      <c r="G371" s="152">
        <v>1245.55</v>
      </c>
      <c r="H371" s="151">
        <v>29</v>
      </c>
      <c r="I371" s="152">
        <v>1245.55</v>
      </c>
      <c r="J371" s="151">
        <v>0</v>
      </c>
      <c r="K371" s="151">
        <v>0</v>
      </c>
      <c r="L371" s="58">
        <f>IF(K371&gt;=0,K371,0)</f>
        <v>0</v>
      </c>
      <c r="M371" s="58">
        <f>IF(K371&lt;=0,K371,0)</f>
        <v>0</v>
      </c>
      <c r="N371" s="58">
        <f>L371+-M371</f>
        <v>0</v>
      </c>
      <c r="O371" s="19"/>
      <c r="P371" s="19">
        <f t="shared" si="15"/>
        <v>0</v>
      </c>
      <c r="Q371" s="19">
        <f t="shared" si="14"/>
        <v>0</v>
      </c>
    </row>
    <row r="372" spans="2:17" x14ac:dyDescent="0.2">
      <c r="B372" s="149">
        <v>102040070</v>
      </c>
      <c r="C372" s="149" t="s">
        <v>167</v>
      </c>
      <c r="D372" s="150" t="s">
        <v>51</v>
      </c>
      <c r="E372" s="151">
        <v>22.31</v>
      </c>
      <c r="F372" s="151">
        <v>14</v>
      </c>
      <c r="G372" s="151">
        <v>312.33999999999997</v>
      </c>
      <c r="H372" s="151">
        <v>14</v>
      </c>
      <c r="I372" s="151">
        <v>312.33999999999997</v>
      </c>
      <c r="J372" s="151">
        <v>0</v>
      </c>
      <c r="K372" s="151">
        <v>0</v>
      </c>
      <c r="L372" s="58">
        <f>IF(K372&gt;=0,K372,0)</f>
        <v>0</v>
      </c>
      <c r="M372" s="58">
        <f>IF(K372&lt;=0,K372,0)</f>
        <v>0</v>
      </c>
      <c r="N372" s="58">
        <f>L372+-M372</f>
        <v>0</v>
      </c>
      <c r="O372" s="19"/>
      <c r="P372" s="19">
        <f t="shared" si="15"/>
        <v>0</v>
      </c>
      <c r="Q372" s="19">
        <f t="shared" si="14"/>
        <v>0</v>
      </c>
    </row>
    <row r="373" spans="2:17" x14ac:dyDescent="0.2">
      <c r="B373" s="149">
        <v>1010831213</v>
      </c>
      <c r="C373" s="149" t="s">
        <v>169</v>
      </c>
      <c r="D373" s="150" t="s">
        <v>54</v>
      </c>
      <c r="E373" s="151">
        <v>29.942685000000001</v>
      </c>
      <c r="F373" s="151">
        <v>9</v>
      </c>
      <c r="G373" s="151">
        <v>269.48416500000002</v>
      </c>
      <c r="H373" s="151">
        <v>9</v>
      </c>
      <c r="I373" s="151">
        <v>269.48416500000002</v>
      </c>
      <c r="J373" s="151">
        <v>0</v>
      </c>
      <c r="K373" s="151">
        <v>0</v>
      </c>
      <c r="L373" s="58">
        <f>IF(K373&gt;=0,K373,0)</f>
        <v>0</v>
      </c>
      <c r="M373" s="58">
        <f>IF(K373&lt;=0,K373,0)</f>
        <v>0</v>
      </c>
      <c r="N373" s="58">
        <f>L373+-M373</f>
        <v>0</v>
      </c>
      <c r="O373" s="19"/>
      <c r="P373" s="19">
        <f t="shared" si="15"/>
        <v>0</v>
      </c>
      <c r="Q373" s="19">
        <f t="shared" si="14"/>
        <v>0</v>
      </c>
    </row>
    <row r="374" spans="2:17" x14ac:dyDescent="0.2">
      <c r="B374" s="149">
        <v>4010632061</v>
      </c>
      <c r="C374" s="149" t="s">
        <v>170</v>
      </c>
      <c r="D374" s="150" t="s">
        <v>51</v>
      </c>
      <c r="E374" s="151">
        <v>25.4</v>
      </c>
      <c r="F374" s="151">
        <v>190</v>
      </c>
      <c r="G374" s="152">
        <v>4826</v>
      </c>
      <c r="H374" s="151">
        <v>190</v>
      </c>
      <c r="I374" s="152">
        <v>4826</v>
      </c>
      <c r="J374" s="151">
        <v>0</v>
      </c>
      <c r="K374" s="151">
        <v>0</v>
      </c>
      <c r="L374" s="58">
        <f>IF(K374&gt;=0,K374,0)</f>
        <v>0</v>
      </c>
      <c r="M374" s="58">
        <f>IF(K374&lt;=0,K374,0)</f>
        <v>0</v>
      </c>
      <c r="N374" s="58">
        <f>L374+-M374</f>
        <v>0</v>
      </c>
      <c r="O374" s="19"/>
      <c r="P374" s="19">
        <f t="shared" si="15"/>
        <v>0</v>
      </c>
      <c r="Q374" s="19">
        <f t="shared" si="14"/>
        <v>0</v>
      </c>
    </row>
    <row r="375" spans="2:17" x14ac:dyDescent="0.2">
      <c r="B375" s="149">
        <v>102020104</v>
      </c>
      <c r="C375" s="149" t="s">
        <v>193</v>
      </c>
      <c r="D375" s="150" t="s">
        <v>51</v>
      </c>
      <c r="E375" s="151">
        <v>5</v>
      </c>
      <c r="F375" s="151">
        <v>37</v>
      </c>
      <c r="G375" s="151">
        <v>185</v>
      </c>
      <c r="H375" s="151">
        <v>37</v>
      </c>
      <c r="I375" s="151">
        <v>185</v>
      </c>
      <c r="J375" s="151">
        <v>0</v>
      </c>
      <c r="K375" s="151">
        <v>0</v>
      </c>
      <c r="L375" s="58">
        <f>IF(K375&gt;=0,K375,0)</f>
        <v>0</v>
      </c>
      <c r="M375" s="58">
        <f>IF(K375&lt;=0,K375,0)</f>
        <v>0</v>
      </c>
      <c r="N375" s="58">
        <f>L375+-M375</f>
        <v>0</v>
      </c>
      <c r="O375" s="19"/>
      <c r="P375" s="19">
        <f t="shared" si="15"/>
        <v>0</v>
      </c>
      <c r="Q375" s="19">
        <f t="shared" si="14"/>
        <v>0</v>
      </c>
    </row>
    <row r="376" spans="2:17" x14ac:dyDescent="0.2">
      <c r="B376" s="149">
        <v>102020019</v>
      </c>
      <c r="C376" s="149" t="s">
        <v>298</v>
      </c>
      <c r="D376" s="150" t="s">
        <v>51</v>
      </c>
      <c r="E376" s="151">
        <v>7.74</v>
      </c>
      <c r="F376" s="151">
        <v>90.5</v>
      </c>
      <c r="G376" s="151">
        <v>700.47</v>
      </c>
      <c r="H376" s="151">
        <v>90.5</v>
      </c>
      <c r="I376" s="151">
        <v>700.47</v>
      </c>
      <c r="J376" s="151">
        <v>0</v>
      </c>
      <c r="K376" s="151">
        <v>0</v>
      </c>
      <c r="L376" s="58">
        <f>IF(K376&gt;=0,K376,0)</f>
        <v>0</v>
      </c>
      <c r="M376" s="58">
        <f>IF(K376&lt;=0,K376,0)</f>
        <v>0</v>
      </c>
      <c r="N376" s="58">
        <f>L376+-M376</f>
        <v>0</v>
      </c>
      <c r="O376" s="19"/>
      <c r="P376" s="19">
        <f t="shared" si="15"/>
        <v>0</v>
      </c>
      <c r="Q376" s="19">
        <f t="shared" si="14"/>
        <v>0</v>
      </c>
    </row>
    <row r="377" spans="2:17" x14ac:dyDescent="0.2">
      <c r="B377" s="149">
        <v>103010016</v>
      </c>
      <c r="C377" s="149" t="s">
        <v>238</v>
      </c>
      <c r="D377" s="150" t="s">
        <v>51</v>
      </c>
      <c r="E377" s="151">
        <v>6.3558279999999998</v>
      </c>
      <c r="F377" s="151">
        <v>136</v>
      </c>
      <c r="G377" s="151">
        <v>864.392608</v>
      </c>
      <c r="H377" s="151">
        <v>136</v>
      </c>
      <c r="I377" s="151">
        <v>864.392608</v>
      </c>
      <c r="J377" s="151">
        <v>0</v>
      </c>
      <c r="K377" s="151">
        <v>0</v>
      </c>
      <c r="L377" s="58">
        <f>IF(K377&gt;=0,K377,0)</f>
        <v>0</v>
      </c>
      <c r="M377" s="58">
        <f>IF(K377&lt;=0,K377,0)</f>
        <v>0</v>
      </c>
      <c r="N377" s="58">
        <f>L377+-M377</f>
        <v>0</v>
      </c>
      <c r="O377" s="19"/>
      <c r="P377" s="19">
        <f t="shared" si="15"/>
        <v>0</v>
      </c>
      <c r="Q377" s="19">
        <f t="shared" si="14"/>
        <v>0</v>
      </c>
    </row>
    <row r="378" spans="2:17" x14ac:dyDescent="0.2">
      <c r="B378" s="149" t="s">
        <v>345</v>
      </c>
      <c r="C378" s="149" t="s">
        <v>346</v>
      </c>
      <c r="D378" s="150" t="s">
        <v>65</v>
      </c>
      <c r="E378" s="151">
        <v>171.751</v>
      </c>
      <c r="F378" s="151">
        <v>2.8</v>
      </c>
      <c r="G378" s="151">
        <v>480.90280000000001</v>
      </c>
      <c r="H378" s="151">
        <v>2.8</v>
      </c>
      <c r="I378" s="151">
        <v>480.90280000000001</v>
      </c>
      <c r="J378" s="151">
        <v>0</v>
      </c>
      <c r="K378" s="151">
        <v>0</v>
      </c>
      <c r="L378" s="58">
        <f>IF(K378&gt;=0,K378,0)</f>
        <v>0</v>
      </c>
      <c r="M378" s="58">
        <f>IF(K378&lt;=0,K378,0)</f>
        <v>0</v>
      </c>
      <c r="N378" s="58">
        <f>L378+-M378</f>
        <v>0</v>
      </c>
      <c r="O378" s="19"/>
      <c r="P378" s="19">
        <f t="shared" si="15"/>
        <v>0</v>
      </c>
      <c r="Q378" s="19">
        <f t="shared" si="14"/>
        <v>0</v>
      </c>
    </row>
    <row r="379" spans="2:17" x14ac:dyDescent="0.2">
      <c r="B379" s="149">
        <v>10209037265</v>
      </c>
      <c r="C379" s="149" t="s">
        <v>171</v>
      </c>
      <c r="D379" s="150" t="s">
        <v>48</v>
      </c>
      <c r="E379" s="151">
        <v>8.9</v>
      </c>
      <c r="F379" s="151">
        <v>15</v>
      </c>
      <c r="G379" s="151">
        <v>133.5</v>
      </c>
      <c r="H379" s="151">
        <v>15</v>
      </c>
      <c r="I379" s="151">
        <v>133.5</v>
      </c>
      <c r="J379" s="151">
        <v>0</v>
      </c>
      <c r="K379" s="151">
        <v>0</v>
      </c>
      <c r="L379" s="58">
        <f>IF(K379&gt;=0,K379,0)</f>
        <v>0</v>
      </c>
      <c r="M379" s="58">
        <f>IF(K379&lt;=0,K379,0)</f>
        <v>0</v>
      </c>
      <c r="N379" s="58">
        <f>L379+-M379</f>
        <v>0</v>
      </c>
      <c r="O379" s="19"/>
      <c r="P379" s="19">
        <f t="shared" si="15"/>
        <v>0</v>
      </c>
      <c r="Q379" s="19">
        <f t="shared" si="14"/>
        <v>0</v>
      </c>
    </row>
    <row r="380" spans="2:17" x14ac:dyDescent="0.2">
      <c r="B380" s="149">
        <v>10209037266</v>
      </c>
      <c r="C380" s="149" t="s">
        <v>172</v>
      </c>
      <c r="D380" s="150" t="s">
        <v>48</v>
      </c>
      <c r="E380" s="151">
        <v>8.9</v>
      </c>
      <c r="F380" s="151">
        <v>7</v>
      </c>
      <c r="G380" s="151">
        <v>62.3</v>
      </c>
      <c r="H380" s="151">
        <v>7</v>
      </c>
      <c r="I380" s="151">
        <v>62.3</v>
      </c>
      <c r="J380" s="151">
        <v>0</v>
      </c>
      <c r="K380" s="151">
        <v>0</v>
      </c>
      <c r="L380" s="58">
        <f>IF(K380&gt;=0,K380,0)</f>
        <v>0</v>
      </c>
      <c r="M380" s="58">
        <f>IF(K380&lt;=0,K380,0)</f>
        <v>0</v>
      </c>
      <c r="N380" s="58">
        <f>L380+-M380</f>
        <v>0</v>
      </c>
      <c r="O380" s="19"/>
      <c r="P380" s="19">
        <f t="shared" si="15"/>
        <v>0</v>
      </c>
      <c r="Q380" s="19">
        <f t="shared" ref="Q380:Q443" si="16">P380+Q379</f>
        <v>0</v>
      </c>
    </row>
    <row r="381" spans="2:17" x14ac:dyDescent="0.2">
      <c r="B381" s="149" t="s">
        <v>189</v>
      </c>
      <c r="C381" s="149" t="s">
        <v>190</v>
      </c>
      <c r="D381" s="150" t="s">
        <v>58</v>
      </c>
      <c r="E381" s="151">
        <v>152.04</v>
      </c>
      <c r="F381" s="151">
        <v>1</v>
      </c>
      <c r="G381" s="151">
        <v>152.04</v>
      </c>
      <c r="H381" s="151">
        <v>1</v>
      </c>
      <c r="I381" s="151">
        <v>152.04</v>
      </c>
      <c r="J381" s="151">
        <v>0</v>
      </c>
      <c r="K381" s="151">
        <v>0</v>
      </c>
      <c r="L381" s="58">
        <f>IF(K381&gt;=0,K381,0)</f>
        <v>0</v>
      </c>
      <c r="M381" s="58">
        <f>IF(K381&lt;=0,K381,0)</f>
        <v>0</v>
      </c>
      <c r="N381" s="58">
        <f>L381+-M381</f>
        <v>0</v>
      </c>
      <c r="O381" s="19"/>
      <c r="P381" s="19">
        <f t="shared" si="15"/>
        <v>0</v>
      </c>
      <c r="Q381" s="19">
        <f t="shared" si="16"/>
        <v>0</v>
      </c>
    </row>
    <row r="382" spans="2:17" x14ac:dyDescent="0.2">
      <c r="B382" s="149">
        <v>505070025</v>
      </c>
      <c r="C382" s="149" t="s">
        <v>483</v>
      </c>
      <c r="D382" s="150" t="s">
        <v>47</v>
      </c>
      <c r="E382" s="151">
        <v>2.7330000000000001</v>
      </c>
      <c r="F382" s="151">
        <v>59</v>
      </c>
      <c r="G382" s="151">
        <v>161.24700000000001</v>
      </c>
      <c r="H382" s="151">
        <v>59</v>
      </c>
      <c r="I382" s="151">
        <v>161.24700000000001</v>
      </c>
      <c r="J382" s="151">
        <v>0</v>
      </c>
      <c r="K382" s="151">
        <v>0</v>
      </c>
      <c r="L382" s="58">
        <f>IF(K382&gt;=0,K382,0)</f>
        <v>0</v>
      </c>
      <c r="M382" s="58">
        <f>IF(K382&lt;=0,K382,0)</f>
        <v>0</v>
      </c>
      <c r="N382" s="58">
        <f>L382+-M382</f>
        <v>0</v>
      </c>
      <c r="O382" s="19"/>
      <c r="P382" s="19">
        <f t="shared" si="15"/>
        <v>0</v>
      </c>
      <c r="Q382" s="19">
        <f t="shared" si="16"/>
        <v>0</v>
      </c>
    </row>
    <row r="383" spans="2:17" x14ac:dyDescent="0.2">
      <c r="B383" s="149">
        <v>5050727455</v>
      </c>
      <c r="C383" s="149" t="s">
        <v>173</v>
      </c>
      <c r="D383" s="150" t="s">
        <v>47</v>
      </c>
      <c r="E383" s="151">
        <v>2.7330000000000001</v>
      </c>
      <c r="F383" s="151">
        <v>64</v>
      </c>
      <c r="G383" s="151">
        <v>174.91200000000001</v>
      </c>
      <c r="H383" s="151">
        <v>64</v>
      </c>
      <c r="I383" s="151">
        <v>174.91200000000001</v>
      </c>
      <c r="J383" s="151">
        <v>0</v>
      </c>
      <c r="K383" s="151">
        <v>0</v>
      </c>
      <c r="L383" s="58">
        <f>IF(K383&gt;=0,K383,0)</f>
        <v>0</v>
      </c>
      <c r="M383" s="58">
        <f>IF(K383&lt;=0,K383,0)</f>
        <v>0</v>
      </c>
      <c r="N383" s="58">
        <f>L383+-M383</f>
        <v>0</v>
      </c>
      <c r="O383" s="19"/>
      <c r="P383" s="19">
        <f t="shared" si="15"/>
        <v>0</v>
      </c>
      <c r="Q383" s="19">
        <f t="shared" si="16"/>
        <v>0</v>
      </c>
    </row>
    <row r="384" spans="2:17" x14ac:dyDescent="0.2">
      <c r="B384" s="149">
        <v>103010017</v>
      </c>
      <c r="C384" s="149" t="s">
        <v>174</v>
      </c>
      <c r="D384" s="150" t="s">
        <v>51</v>
      </c>
      <c r="E384" s="151">
        <v>7.4333999999999998</v>
      </c>
      <c r="F384" s="151">
        <v>85</v>
      </c>
      <c r="G384" s="151">
        <v>631.83900000000006</v>
      </c>
      <c r="H384" s="151">
        <v>85</v>
      </c>
      <c r="I384" s="151">
        <v>631.83900000000006</v>
      </c>
      <c r="J384" s="151">
        <v>0</v>
      </c>
      <c r="K384" s="151">
        <v>0</v>
      </c>
      <c r="L384" s="58">
        <f>IF(K384&gt;=0,K384,0)</f>
        <v>0</v>
      </c>
      <c r="M384" s="58">
        <f>IF(K384&lt;=0,K384,0)</f>
        <v>0</v>
      </c>
      <c r="N384" s="58">
        <f>L384+-M384</f>
        <v>0</v>
      </c>
      <c r="O384" s="19"/>
      <c r="P384" s="19">
        <f t="shared" si="15"/>
        <v>0</v>
      </c>
      <c r="Q384" s="19">
        <f t="shared" si="16"/>
        <v>0</v>
      </c>
    </row>
    <row r="385" spans="2:17" x14ac:dyDescent="0.2">
      <c r="B385" s="149">
        <v>102010029</v>
      </c>
      <c r="C385" s="149" t="s">
        <v>175</v>
      </c>
      <c r="D385" s="150" t="s">
        <v>51</v>
      </c>
      <c r="E385" s="151">
        <v>2.5</v>
      </c>
      <c r="F385" s="151">
        <v>159.5</v>
      </c>
      <c r="G385" s="151">
        <v>398.75</v>
      </c>
      <c r="H385" s="151">
        <v>159.5</v>
      </c>
      <c r="I385" s="151">
        <v>398.75</v>
      </c>
      <c r="J385" s="151">
        <v>0</v>
      </c>
      <c r="K385" s="151">
        <v>0</v>
      </c>
      <c r="L385" s="58">
        <f>IF(K385&gt;=0,K385,0)</f>
        <v>0</v>
      </c>
      <c r="M385" s="58">
        <f>IF(K385&lt;=0,K385,0)</f>
        <v>0</v>
      </c>
      <c r="N385" s="58">
        <f>L385+-M385</f>
        <v>0</v>
      </c>
      <c r="O385" s="19"/>
      <c r="P385" s="19">
        <f t="shared" si="15"/>
        <v>0</v>
      </c>
      <c r="Q385" s="19">
        <f t="shared" si="16"/>
        <v>0</v>
      </c>
    </row>
    <row r="386" spans="2:17" x14ac:dyDescent="0.2">
      <c r="B386" s="149">
        <v>102010030</v>
      </c>
      <c r="C386" s="149" t="s">
        <v>176</v>
      </c>
      <c r="D386" s="150" t="s">
        <v>51</v>
      </c>
      <c r="E386" s="151">
        <v>4.84</v>
      </c>
      <c r="F386" s="151">
        <v>37.4</v>
      </c>
      <c r="G386" s="151">
        <v>181.01599999999999</v>
      </c>
      <c r="H386" s="151">
        <v>37.4</v>
      </c>
      <c r="I386" s="151">
        <v>181.01599999999999</v>
      </c>
      <c r="J386" s="151">
        <v>0</v>
      </c>
      <c r="K386" s="151">
        <v>0</v>
      </c>
      <c r="L386" s="58">
        <f>IF(K386&gt;=0,K386,0)</f>
        <v>0</v>
      </c>
      <c r="M386" s="58">
        <f>IF(K386&lt;=0,K386,0)</f>
        <v>0</v>
      </c>
      <c r="N386" s="58">
        <f>L386+-M386</f>
        <v>0</v>
      </c>
      <c r="O386" s="19"/>
      <c r="P386" s="19">
        <f t="shared" si="15"/>
        <v>0</v>
      </c>
      <c r="Q386" s="19">
        <f t="shared" si="16"/>
        <v>0</v>
      </c>
    </row>
    <row r="387" spans="2:17" x14ac:dyDescent="0.2">
      <c r="B387" s="149">
        <v>102010081</v>
      </c>
      <c r="C387" s="149" t="s">
        <v>177</v>
      </c>
      <c r="D387" s="150" t="s">
        <v>51</v>
      </c>
      <c r="E387" s="151">
        <v>2.5</v>
      </c>
      <c r="F387" s="151">
        <v>106</v>
      </c>
      <c r="G387" s="151">
        <v>265</v>
      </c>
      <c r="H387" s="151">
        <v>106</v>
      </c>
      <c r="I387" s="151">
        <v>265</v>
      </c>
      <c r="J387" s="151">
        <v>0</v>
      </c>
      <c r="K387" s="151">
        <v>0</v>
      </c>
      <c r="L387" s="58">
        <f>IF(K387&gt;=0,K387,0)</f>
        <v>0</v>
      </c>
      <c r="M387" s="58">
        <f>IF(K387&lt;=0,K387,0)</f>
        <v>0</v>
      </c>
      <c r="N387" s="58">
        <f>L387+-M387</f>
        <v>0</v>
      </c>
      <c r="O387" s="19"/>
      <c r="P387" s="19">
        <f t="shared" si="15"/>
        <v>0</v>
      </c>
      <c r="Q387" s="19">
        <f t="shared" si="16"/>
        <v>0</v>
      </c>
    </row>
    <row r="388" spans="2:17" x14ac:dyDescent="0.2">
      <c r="B388" s="149">
        <v>5030224265</v>
      </c>
      <c r="C388" s="149" t="s">
        <v>299</v>
      </c>
      <c r="D388" s="150" t="s">
        <v>51</v>
      </c>
      <c r="E388" s="151">
        <v>7.7744220000000004</v>
      </c>
      <c r="F388" s="151">
        <v>72</v>
      </c>
      <c r="G388" s="151">
        <v>559.75838399999998</v>
      </c>
      <c r="H388" s="151">
        <v>72</v>
      </c>
      <c r="I388" s="151">
        <v>559.75838399999998</v>
      </c>
      <c r="J388" s="151">
        <v>0</v>
      </c>
      <c r="K388" s="151">
        <v>0</v>
      </c>
      <c r="L388" s="58">
        <f>IF(K388&gt;=0,K388,0)</f>
        <v>0</v>
      </c>
      <c r="M388" s="58">
        <f>IF(K388&lt;=0,K388,0)</f>
        <v>0</v>
      </c>
      <c r="N388" s="58">
        <f>L388+-M388</f>
        <v>0</v>
      </c>
      <c r="O388" s="19"/>
      <c r="P388" s="19">
        <f t="shared" si="15"/>
        <v>0</v>
      </c>
      <c r="Q388" s="19">
        <f t="shared" si="16"/>
        <v>0</v>
      </c>
    </row>
    <row r="389" spans="2:17" x14ac:dyDescent="0.2">
      <c r="B389" s="149">
        <v>4030227693</v>
      </c>
      <c r="C389" s="149" t="s">
        <v>178</v>
      </c>
      <c r="D389" s="150" t="s">
        <v>51</v>
      </c>
      <c r="E389" s="151">
        <v>8.6375910000000005</v>
      </c>
      <c r="F389" s="151">
        <v>62</v>
      </c>
      <c r="G389" s="151">
        <v>535.53064199999994</v>
      </c>
      <c r="H389" s="151">
        <v>62</v>
      </c>
      <c r="I389" s="151">
        <v>535.53064199999994</v>
      </c>
      <c r="J389" s="151">
        <v>0</v>
      </c>
      <c r="K389" s="151">
        <v>0</v>
      </c>
      <c r="L389" s="58">
        <f>IF(K389&gt;=0,K389,0)</f>
        <v>0</v>
      </c>
      <c r="M389" s="58">
        <f>IF(K389&lt;=0,K389,0)</f>
        <v>0</v>
      </c>
      <c r="N389" s="58">
        <f>L389+-M389</f>
        <v>0</v>
      </c>
      <c r="O389" s="19"/>
      <c r="P389" s="19">
        <f t="shared" si="15"/>
        <v>0</v>
      </c>
      <c r="Q389" s="19">
        <f t="shared" si="16"/>
        <v>0</v>
      </c>
    </row>
    <row r="390" spans="2:17" x14ac:dyDescent="0.2">
      <c r="B390" s="21"/>
      <c r="C390" s="22"/>
      <c r="D390" s="23"/>
      <c r="E390" s="24"/>
      <c r="F390" s="24"/>
      <c r="G390" s="24"/>
      <c r="H390" s="24"/>
      <c r="I390" s="24"/>
      <c r="J390" s="24"/>
      <c r="K390" s="24"/>
      <c r="L390" s="58">
        <f>IF(K390&gt;=0,K390,0)</f>
        <v>0</v>
      </c>
      <c r="M390" s="58">
        <f>IF(K390&lt;=0,K390,0)</f>
        <v>0</v>
      </c>
      <c r="N390" s="58">
        <f>L390+-M390</f>
        <v>0</v>
      </c>
      <c r="O390" s="19"/>
      <c r="P390" s="19">
        <f t="shared" si="15"/>
        <v>0</v>
      </c>
      <c r="Q390" s="19">
        <f t="shared" si="16"/>
        <v>0</v>
      </c>
    </row>
    <row r="391" spans="2:17" x14ac:dyDescent="0.2">
      <c r="B391" s="21"/>
      <c r="C391" s="22"/>
      <c r="D391" s="23"/>
      <c r="E391" s="24"/>
      <c r="F391" s="24"/>
      <c r="G391" s="24"/>
      <c r="H391" s="24"/>
      <c r="I391" s="24"/>
      <c r="J391" s="24"/>
      <c r="K391" s="24"/>
      <c r="L391" s="58">
        <f>IF(K391&gt;=0,K391,0)</f>
        <v>0</v>
      </c>
      <c r="M391" s="58">
        <f>IF(K391&lt;=0,K391,0)</f>
        <v>0</v>
      </c>
      <c r="N391" s="58">
        <f>L391+-M391</f>
        <v>0</v>
      </c>
      <c r="O391" s="19"/>
      <c r="P391" s="19">
        <f t="shared" ref="P391:P454" si="17">N391/$N$1055</f>
        <v>0</v>
      </c>
      <c r="Q391" s="19">
        <f t="shared" si="16"/>
        <v>0</v>
      </c>
    </row>
    <row r="392" spans="2:17" x14ac:dyDescent="0.2">
      <c r="B392" s="21"/>
      <c r="C392" s="22"/>
      <c r="D392" s="23"/>
      <c r="E392" s="24"/>
      <c r="F392" s="24"/>
      <c r="G392" s="24"/>
      <c r="H392" s="24"/>
      <c r="I392" s="24"/>
      <c r="J392" s="24"/>
      <c r="K392" s="24"/>
      <c r="L392" s="58">
        <f>IF(K392&gt;=0,K392,0)</f>
        <v>0</v>
      </c>
      <c r="M392" s="58">
        <f>IF(K392&lt;=0,K392,0)</f>
        <v>0</v>
      </c>
      <c r="N392" s="58">
        <f>L392+-M392</f>
        <v>0</v>
      </c>
      <c r="O392" s="19"/>
      <c r="P392" s="19">
        <f t="shared" si="17"/>
        <v>0</v>
      </c>
      <c r="Q392" s="19">
        <f t="shared" si="16"/>
        <v>0</v>
      </c>
    </row>
    <row r="393" spans="2:17" x14ac:dyDescent="0.2">
      <c r="B393" s="21"/>
      <c r="C393" s="22"/>
      <c r="D393" s="23"/>
      <c r="E393" s="24"/>
      <c r="F393" s="24"/>
      <c r="G393" s="24"/>
      <c r="H393" s="24"/>
      <c r="I393" s="24"/>
      <c r="J393" s="24"/>
      <c r="K393" s="24"/>
      <c r="L393" s="58">
        <f>IF(K393&gt;=0,K393,0)</f>
        <v>0</v>
      </c>
      <c r="M393" s="58">
        <f>IF(K393&lt;=0,K393,0)</f>
        <v>0</v>
      </c>
      <c r="N393" s="58">
        <f>L393+-M393</f>
        <v>0</v>
      </c>
      <c r="O393" s="19"/>
      <c r="P393" s="19">
        <f t="shared" si="17"/>
        <v>0</v>
      </c>
      <c r="Q393" s="19">
        <f t="shared" si="16"/>
        <v>0</v>
      </c>
    </row>
    <row r="394" spans="2:17" x14ac:dyDescent="0.2">
      <c r="B394" s="21"/>
      <c r="C394" s="22"/>
      <c r="D394" s="23"/>
      <c r="E394" s="24"/>
      <c r="F394" s="24"/>
      <c r="G394" s="24"/>
      <c r="H394" s="24"/>
      <c r="I394" s="24"/>
      <c r="J394" s="24"/>
      <c r="K394" s="24"/>
      <c r="L394" s="58">
        <f>IF(K394&gt;=0,K394,0)</f>
        <v>0</v>
      </c>
      <c r="M394" s="58">
        <f>IF(K394&lt;=0,K394,0)</f>
        <v>0</v>
      </c>
      <c r="N394" s="58">
        <f>L394+-M394</f>
        <v>0</v>
      </c>
      <c r="O394" s="19"/>
      <c r="P394" s="19">
        <f t="shared" si="17"/>
        <v>0</v>
      </c>
      <c r="Q394" s="19">
        <f t="shared" si="16"/>
        <v>0</v>
      </c>
    </row>
    <row r="395" spans="2:17" x14ac:dyDescent="0.2">
      <c r="B395" s="21"/>
      <c r="C395" s="22"/>
      <c r="D395" s="23"/>
      <c r="E395" s="24"/>
      <c r="F395" s="24"/>
      <c r="G395" s="24"/>
      <c r="H395" s="24"/>
      <c r="I395" s="24"/>
      <c r="J395" s="24"/>
      <c r="K395" s="24"/>
      <c r="L395" s="58">
        <f>IF(K395&gt;=0,K395,0)</f>
        <v>0</v>
      </c>
      <c r="M395" s="58">
        <f>IF(K395&lt;=0,K395,0)</f>
        <v>0</v>
      </c>
      <c r="N395" s="58">
        <f>L395+-M395</f>
        <v>0</v>
      </c>
      <c r="O395" s="19"/>
      <c r="P395" s="19">
        <f t="shared" si="17"/>
        <v>0</v>
      </c>
      <c r="Q395" s="19">
        <f t="shared" si="16"/>
        <v>0</v>
      </c>
    </row>
    <row r="396" spans="2:17" x14ac:dyDescent="0.2">
      <c r="B396" s="21"/>
      <c r="C396" s="22"/>
      <c r="D396" s="23"/>
      <c r="E396" s="24"/>
      <c r="F396" s="24"/>
      <c r="G396" s="24"/>
      <c r="H396" s="24"/>
      <c r="I396" s="24"/>
      <c r="J396" s="24"/>
      <c r="K396" s="24"/>
      <c r="L396" s="58">
        <f>IF(K396&gt;=0,K396,0)</f>
        <v>0</v>
      </c>
      <c r="M396" s="58">
        <f>IF(K396&lt;=0,K396,0)</f>
        <v>0</v>
      </c>
      <c r="N396" s="58">
        <f>L396+-M396</f>
        <v>0</v>
      </c>
      <c r="O396" s="19"/>
      <c r="P396" s="19">
        <f t="shared" si="17"/>
        <v>0</v>
      </c>
      <c r="Q396" s="19">
        <f t="shared" si="16"/>
        <v>0</v>
      </c>
    </row>
    <row r="397" spans="2:17" x14ac:dyDescent="0.2">
      <c r="B397" s="21"/>
      <c r="C397" s="22"/>
      <c r="D397" s="23"/>
      <c r="E397" s="24"/>
      <c r="F397" s="24"/>
      <c r="G397" s="24"/>
      <c r="H397" s="24"/>
      <c r="I397" s="24"/>
      <c r="J397" s="24"/>
      <c r="K397" s="24"/>
      <c r="L397" s="58">
        <f>IF(K397&gt;=0,K397,0)</f>
        <v>0</v>
      </c>
      <c r="M397" s="58">
        <f>IF(K397&lt;=0,K397,0)</f>
        <v>0</v>
      </c>
      <c r="N397" s="58">
        <f>L397+-M397</f>
        <v>0</v>
      </c>
      <c r="O397" s="19"/>
      <c r="P397" s="19">
        <f t="shared" si="17"/>
        <v>0</v>
      </c>
      <c r="Q397" s="19">
        <f t="shared" si="16"/>
        <v>0</v>
      </c>
    </row>
    <row r="398" spans="2:17" x14ac:dyDescent="0.2">
      <c r="B398" s="21"/>
      <c r="C398" s="22"/>
      <c r="D398" s="23"/>
      <c r="E398" s="24"/>
      <c r="F398" s="24"/>
      <c r="G398" s="24"/>
      <c r="H398" s="24"/>
      <c r="I398" s="24"/>
      <c r="J398" s="24"/>
      <c r="K398" s="24"/>
      <c r="L398" s="58">
        <f>IF(K398&gt;=0,K398,0)</f>
        <v>0</v>
      </c>
      <c r="M398" s="58">
        <f>IF(K398&lt;=0,K398,0)</f>
        <v>0</v>
      </c>
      <c r="N398" s="58">
        <f>L398+-M398</f>
        <v>0</v>
      </c>
      <c r="O398" s="19"/>
      <c r="P398" s="19">
        <f t="shared" si="17"/>
        <v>0</v>
      </c>
      <c r="Q398" s="19">
        <f t="shared" si="16"/>
        <v>0</v>
      </c>
    </row>
    <row r="399" spans="2:17" x14ac:dyDescent="0.2">
      <c r="B399" s="21"/>
      <c r="C399" s="22"/>
      <c r="D399" s="23"/>
      <c r="E399" s="24"/>
      <c r="F399" s="24"/>
      <c r="G399" s="24"/>
      <c r="H399" s="24"/>
      <c r="I399" s="24"/>
      <c r="J399" s="24"/>
      <c r="K399" s="24"/>
      <c r="L399" s="58">
        <f>IF(K399&gt;=0,K399,0)</f>
        <v>0</v>
      </c>
      <c r="M399" s="58">
        <f>IF(K399&lt;=0,K399,0)</f>
        <v>0</v>
      </c>
      <c r="N399" s="58">
        <f>L399+-M399</f>
        <v>0</v>
      </c>
      <c r="O399" s="19"/>
      <c r="P399" s="19">
        <f t="shared" si="17"/>
        <v>0</v>
      </c>
      <c r="Q399" s="19">
        <f t="shared" si="16"/>
        <v>0</v>
      </c>
    </row>
    <row r="400" spans="2:17" x14ac:dyDescent="0.2">
      <c r="B400" s="21"/>
      <c r="C400" s="22"/>
      <c r="D400" s="23"/>
      <c r="E400" s="24"/>
      <c r="F400" s="24"/>
      <c r="G400" s="24"/>
      <c r="H400" s="24"/>
      <c r="I400" s="24"/>
      <c r="J400" s="24"/>
      <c r="K400" s="24"/>
      <c r="L400" s="58">
        <f>IF(K400&gt;=0,K400,0)</f>
        <v>0</v>
      </c>
      <c r="M400" s="58">
        <f>IF(K400&lt;=0,K400,0)</f>
        <v>0</v>
      </c>
      <c r="N400" s="58">
        <f>L400+-M400</f>
        <v>0</v>
      </c>
      <c r="O400" s="19"/>
      <c r="P400" s="19">
        <f t="shared" si="17"/>
        <v>0</v>
      </c>
      <c r="Q400" s="19">
        <f t="shared" si="16"/>
        <v>0</v>
      </c>
    </row>
    <row r="401" spans="2:17" x14ac:dyDescent="0.2">
      <c r="B401" s="21"/>
      <c r="C401" s="22"/>
      <c r="D401" s="23"/>
      <c r="E401" s="24"/>
      <c r="F401" s="24"/>
      <c r="G401" s="24"/>
      <c r="H401" s="24"/>
      <c r="I401" s="24"/>
      <c r="J401" s="24"/>
      <c r="K401" s="24"/>
      <c r="L401" s="58">
        <f>IF(K401&gt;=0,K401,0)</f>
        <v>0</v>
      </c>
      <c r="M401" s="58">
        <f>IF(K401&lt;=0,K401,0)</f>
        <v>0</v>
      </c>
      <c r="N401" s="58">
        <f>L401+-M401</f>
        <v>0</v>
      </c>
      <c r="O401" s="19"/>
      <c r="P401" s="19">
        <f t="shared" si="17"/>
        <v>0</v>
      </c>
      <c r="Q401" s="19">
        <f t="shared" si="16"/>
        <v>0</v>
      </c>
    </row>
    <row r="402" spans="2:17" x14ac:dyDescent="0.2">
      <c r="B402" s="21"/>
      <c r="C402" s="22"/>
      <c r="D402" s="23"/>
      <c r="E402" s="24"/>
      <c r="F402" s="24"/>
      <c r="G402" s="24"/>
      <c r="H402" s="24"/>
      <c r="I402" s="24"/>
      <c r="J402" s="24"/>
      <c r="K402" s="24"/>
      <c r="L402" s="58">
        <f>IF(K402&gt;=0,K402,0)</f>
        <v>0</v>
      </c>
      <c r="M402" s="58">
        <f>IF(K402&lt;=0,K402,0)</f>
        <v>0</v>
      </c>
      <c r="N402" s="58">
        <f>L402+-M402</f>
        <v>0</v>
      </c>
      <c r="O402" s="19"/>
      <c r="P402" s="19">
        <f t="shared" si="17"/>
        <v>0</v>
      </c>
      <c r="Q402" s="19">
        <f t="shared" si="16"/>
        <v>0</v>
      </c>
    </row>
    <row r="403" spans="2:17" x14ac:dyDescent="0.2">
      <c r="B403" s="21"/>
      <c r="C403" s="22"/>
      <c r="D403" s="23"/>
      <c r="E403" s="24"/>
      <c r="F403" s="24"/>
      <c r="G403" s="24"/>
      <c r="H403" s="24"/>
      <c r="I403" s="24"/>
      <c r="J403" s="24"/>
      <c r="K403" s="24"/>
      <c r="L403" s="58">
        <f>IF(K403&gt;=0,K403,0)</f>
        <v>0</v>
      </c>
      <c r="M403" s="58">
        <f>IF(K403&lt;=0,K403,0)</f>
        <v>0</v>
      </c>
      <c r="N403" s="58">
        <f>L403+-M403</f>
        <v>0</v>
      </c>
      <c r="O403" s="19"/>
      <c r="P403" s="19">
        <f t="shared" si="17"/>
        <v>0</v>
      </c>
      <c r="Q403" s="19">
        <f t="shared" si="16"/>
        <v>0</v>
      </c>
    </row>
    <row r="404" spans="2:17" x14ac:dyDescent="0.2">
      <c r="B404" s="21"/>
      <c r="C404" s="22"/>
      <c r="D404" s="23"/>
      <c r="E404" s="24"/>
      <c r="F404" s="24"/>
      <c r="G404" s="24"/>
      <c r="H404" s="24"/>
      <c r="I404" s="24"/>
      <c r="J404" s="24"/>
      <c r="K404" s="24"/>
      <c r="L404" s="58">
        <f>IF(K404&gt;=0,K404,0)</f>
        <v>0</v>
      </c>
      <c r="M404" s="58">
        <f>IF(K404&lt;=0,K404,0)</f>
        <v>0</v>
      </c>
      <c r="N404" s="58">
        <f>L404+-M404</f>
        <v>0</v>
      </c>
      <c r="O404" s="19"/>
      <c r="P404" s="19">
        <f t="shared" si="17"/>
        <v>0</v>
      </c>
      <c r="Q404" s="19">
        <f t="shared" si="16"/>
        <v>0</v>
      </c>
    </row>
    <row r="405" spans="2:17" x14ac:dyDescent="0.2">
      <c r="B405" s="21"/>
      <c r="C405" s="22"/>
      <c r="D405" s="23"/>
      <c r="E405" s="24"/>
      <c r="F405" s="24"/>
      <c r="G405" s="24"/>
      <c r="H405" s="24"/>
      <c r="I405" s="24"/>
      <c r="J405" s="24"/>
      <c r="K405" s="24"/>
      <c r="L405" s="58">
        <f>IF(K405&gt;=0,K405,0)</f>
        <v>0</v>
      </c>
      <c r="M405" s="58">
        <f>IF(K405&lt;=0,K405,0)</f>
        <v>0</v>
      </c>
      <c r="N405" s="58">
        <f>L405+-M405</f>
        <v>0</v>
      </c>
      <c r="O405" s="19"/>
      <c r="P405" s="19">
        <f t="shared" si="17"/>
        <v>0</v>
      </c>
      <c r="Q405" s="19">
        <f t="shared" si="16"/>
        <v>0</v>
      </c>
    </row>
    <row r="406" spans="2:17" x14ac:dyDescent="0.2">
      <c r="B406" s="21"/>
      <c r="C406" s="22"/>
      <c r="D406" s="23"/>
      <c r="E406" s="24"/>
      <c r="F406" s="24"/>
      <c r="G406" s="24"/>
      <c r="H406" s="24"/>
      <c r="I406" s="24"/>
      <c r="J406" s="24"/>
      <c r="K406" s="24"/>
      <c r="L406" s="58">
        <f>IF(K406&gt;=0,K406,0)</f>
        <v>0</v>
      </c>
      <c r="M406" s="58">
        <f>IF(K406&lt;=0,K406,0)</f>
        <v>0</v>
      </c>
      <c r="N406" s="58">
        <f>L406+-M406</f>
        <v>0</v>
      </c>
      <c r="O406" s="19"/>
      <c r="P406" s="19">
        <f t="shared" si="17"/>
        <v>0</v>
      </c>
      <c r="Q406" s="19">
        <f t="shared" si="16"/>
        <v>0</v>
      </c>
    </row>
    <row r="407" spans="2:17" x14ac:dyDescent="0.2">
      <c r="B407" s="21"/>
      <c r="C407" s="22"/>
      <c r="D407" s="23"/>
      <c r="E407" s="24"/>
      <c r="F407" s="24"/>
      <c r="G407" s="24"/>
      <c r="H407" s="24"/>
      <c r="I407" s="24"/>
      <c r="J407" s="24"/>
      <c r="K407" s="24"/>
      <c r="L407" s="58">
        <f>IF(K407&gt;=0,K407,0)</f>
        <v>0</v>
      </c>
      <c r="M407" s="58">
        <f>IF(K407&lt;=0,K407,0)</f>
        <v>0</v>
      </c>
      <c r="N407" s="58">
        <f>L407+-M407</f>
        <v>0</v>
      </c>
      <c r="O407" s="19"/>
      <c r="P407" s="19">
        <f t="shared" si="17"/>
        <v>0</v>
      </c>
      <c r="Q407" s="19">
        <f t="shared" si="16"/>
        <v>0</v>
      </c>
    </row>
    <row r="408" spans="2:17" x14ac:dyDescent="0.2">
      <c r="B408" s="21"/>
      <c r="C408" s="22"/>
      <c r="D408" s="23"/>
      <c r="E408" s="24"/>
      <c r="F408" s="24"/>
      <c r="G408" s="24"/>
      <c r="H408" s="24"/>
      <c r="I408" s="24"/>
      <c r="J408" s="24"/>
      <c r="K408" s="24"/>
      <c r="L408" s="58">
        <f>IF(K408&gt;=0,K408,0)</f>
        <v>0</v>
      </c>
      <c r="M408" s="58">
        <f>IF(K408&lt;=0,K408,0)</f>
        <v>0</v>
      </c>
      <c r="N408" s="58">
        <f>L408+-M408</f>
        <v>0</v>
      </c>
      <c r="O408" s="19"/>
      <c r="P408" s="19">
        <f t="shared" si="17"/>
        <v>0</v>
      </c>
      <c r="Q408" s="19">
        <f t="shared" si="16"/>
        <v>0</v>
      </c>
    </row>
    <row r="409" spans="2:17" x14ac:dyDescent="0.2">
      <c r="B409" s="21"/>
      <c r="C409" s="22"/>
      <c r="D409" s="23"/>
      <c r="E409" s="24"/>
      <c r="F409" s="24"/>
      <c r="G409" s="24"/>
      <c r="H409" s="24"/>
      <c r="I409" s="24"/>
      <c r="J409" s="24"/>
      <c r="K409" s="24"/>
      <c r="L409" s="58">
        <f>IF(K409&gt;=0,K409,0)</f>
        <v>0</v>
      </c>
      <c r="M409" s="58">
        <f>IF(K409&lt;=0,K409,0)</f>
        <v>0</v>
      </c>
      <c r="N409" s="58">
        <f>L409+-M409</f>
        <v>0</v>
      </c>
      <c r="O409" s="19"/>
      <c r="P409" s="19">
        <f t="shared" si="17"/>
        <v>0</v>
      </c>
      <c r="Q409" s="19">
        <f t="shared" si="16"/>
        <v>0</v>
      </c>
    </row>
    <row r="410" spans="2:17" x14ac:dyDescent="0.2">
      <c r="B410" s="21"/>
      <c r="C410" s="22"/>
      <c r="D410" s="23"/>
      <c r="E410" s="24"/>
      <c r="F410" s="24"/>
      <c r="G410" s="24"/>
      <c r="H410" s="24"/>
      <c r="I410" s="24"/>
      <c r="J410" s="24"/>
      <c r="K410" s="24"/>
      <c r="L410" s="58">
        <f>IF(K410&gt;=0,K410,0)</f>
        <v>0</v>
      </c>
      <c r="M410" s="58">
        <f>IF(K410&lt;=0,K410,0)</f>
        <v>0</v>
      </c>
      <c r="N410" s="58">
        <f>L410+-M410</f>
        <v>0</v>
      </c>
      <c r="O410" s="19"/>
      <c r="P410" s="19">
        <f t="shared" si="17"/>
        <v>0</v>
      </c>
      <c r="Q410" s="19">
        <f t="shared" si="16"/>
        <v>0</v>
      </c>
    </row>
    <row r="411" spans="2:17" x14ac:dyDescent="0.2">
      <c r="B411" s="21"/>
      <c r="C411" s="22"/>
      <c r="D411" s="23"/>
      <c r="E411" s="24"/>
      <c r="F411" s="24"/>
      <c r="G411" s="24"/>
      <c r="H411" s="24"/>
      <c r="I411" s="24"/>
      <c r="J411" s="24"/>
      <c r="K411" s="24"/>
      <c r="L411" s="58">
        <f>IF(K411&gt;=0,K411,0)</f>
        <v>0</v>
      </c>
      <c r="M411" s="58">
        <f>IF(K411&lt;=0,K411,0)</f>
        <v>0</v>
      </c>
      <c r="N411" s="58">
        <f>L411+-M411</f>
        <v>0</v>
      </c>
      <c r="O411" s="19"/>
      <c r="P411" s="19">
        <f t="shared" si="17"/>
        <v>0</v>
      </c>
      <c r="Q411" s="19">
        <f t="shared" si="16"/>
        <v>0</v>
      </c>
    </row>
    <row r="412" spans="2:17" x14ac:dyDescent="0.2">
      <c r="B412" s="21"/>
      <c r="C412" s="22"/>
      <c r="D412" s="23"/>
      <c r="E412" s="24"/>
      <c r="F412" s="24"/>
      <c r="G412" s="24"/>
      <c r="H412" s="24"/>
      <c r="I412" s="24"/>
      <c r="J412" s="24"/>
      <c r="K412" s="24"/>
      <c r="L412" s="58">
        <f>IF(K412&gt;=0,K412,0)</f>
        <v>0</v>
      </c>
      <c r="M412" s="58">
        <f>IF(K412&lt;=0,K412,0)</f>
        <v>0</v>
      </c>
      <c r="N412" s="58">
        <f>L412+-M412</f>
        <v>0</v>
      </c>
      <c r="O412" s="19"/>
      <c r="P412" s="19">
        <f t="shared" si="17"/>
        <v>0</v>
      </c>
      <c r="Q412" s="19">
        <f t="shared" si="16"/>
        <v>0</v>
      </c>
    </row>
    <row r="413" spans="2:17" x14ac:dyDescent="0.2">
      <c r="B413" s="21"/>
      <c r="C413" s="22"/>
      <c r="D413" s="23"/>
      <c r="E413" s="24"/>
      <c r="F413" s="24"/>
      <c r="G413" s="24"/>
      <c r="H413" s="24"/>
      <c r="I413" s="24"/>
      <c r="J413" s="24"/>
      <c r="K413" s="24"/>
      <c r="L413" s="58">
        <f>IF(K413&gt;=0,K413,0)</f>
        <v>0</v>
      </c>
      <c r="M413" s="58">
        <f>IF(K413&lt;=0,K413,0)</f>
        <v>0</v>
      </c>
      <c r="N413" s="58">
        <f>L413+-M413</f>
        <v>0</v>
      </c>
      <c r="O413" s="19"/>
      <c r="P413" s="19">
        <f t="shared" si="17"/>
        <v>0</v>
      </c>
      <c r="Q413" s="19">
        <f t="shared" si="16"/>
        <v>0</v>
      </c>
    </row>
    <row r="414" spans="2:17" x14ac:dyDescent="0.2">
      <c r="B414" s="21"/>
      <c r="C414" s="22"/>
      <c r="D414" s="23"/>
      <c r="E414" s="24"/>
      <c r="F414" s="24"/>
      <c r="G414" s="24"/>
      <c r="H414" s="24"/>
      <c r="I414" s="24"/>
      <c r="J414" s="24"/>
      <c r="K414" s="24"/>
      <c r="L414" s="58">
        <f>IF(K414&gt;=0,K414,0)</f>
        <v>0</v>
      </c>
      <c r="M414" s="58">
        <f>IF(K414&lt;=0,K414,0)</f>
        <v>0</v>
      </c>
      <c r="N414" s="58">
        <f>L414+-M414</f>
        <v>0</v>
      </c>
      <c r="O414" s="19"/>
      <c r="P414" s="19">
        <f t="shared" si="17"/>
        <v>0</v>
      </c>
      <c r="Q414" s="19">
        <f t="shared" si="16"/>
        <v>0</v>
      </c>
    </row>
    <row r="415" spans="2:17" x14ac:dyDescent="0.2">
      <c r="B415" s="22"/>
      <c r="C415" s="22"/>
      <c r="D415" s="23"/>
      <c r="E415" s="24"/>
      <c r="F415" s="24"/>
      <c r="G415" s="24"/>
      <c r="H415" s="24"/>
      <c r="I415" s="24"/>
      <c r="J415" s="24"/>
      <c r="K415" s="24"/>
      <c r="L415" s="58">
        <f>IF(K415&gt;=0,K415,0)</f>
        <v>0</v>
      </c>
      <c r="M415" s="58">
        <f>IF(K415&lt;=0,K415,0)</f>
        <v>0</v>
      </c>
      <c r="N415" s="58">
        <f>L415+-M415</f>
        <v>0</v>
      </c>
      <c r="O415" s="19"/>
      <c r="P415" s="19">
        <f t="shared" si="17"/>
        <v>0</v>
      </c>
      <c r="Q415" s="19">
        <f t="shared" si="16"/>
        <v>0</v>
      </c>
    </row>
    <row r="416" spans="2:17" x14ac:dyDescent="0.2">
      <c r="B416" s="21"/>
      <c r="C416" s="22"/>
      <c r="D416" s="23"/>
      <c r="E416" s="24"/>
      <c r="F416" s="24"/>
      <c r="G416" s="24"/>
      <c r="H416" s="24"/>
      <c r="I416" s="24"/>
      <c r="J416" s="24"/>
      <c r="K416" s="24"/>
      <c r="L416" s="58">
        <f>IF(K416&gt;=0,K416,0)</f>
        <v>0</v>
      </c>
      <c r="M416" s="58">
        <f>IF(K416&lt;=0,K416,0)</f>
        <v>0</v>
      </c>
      <c r="N416" s="58">
        <f>L416+-M416</f>
        <v>0</v>
      </c>
      <c r="O416" s="19"/>
      <c r="P416" s="19">
        <f t="shared" si="17"/>
        <v>0</v>
      </c>
      <c r="Q416" s="19">
        <f t="shared" si="16"/>
        <v>0</v>
      </c>
    </row>
    <row r="417" spans="2:17" x14ac:dyDescent="0.2">
      <c r="B417" s="21"/>
      <c r="C417" s="22"/>
      <c r="D417" s="23"/>
      <c r="E417" s="24"/>
      <c r="F417" s="24"/>
      <c r="G417" s="24"/>
      <c r="H417" s="24"/>
      <c r="I417" s="24"/>
      <c r="J417" s="24"/>
      <c r="K417" s="24"/>
      <c r="L417" s="58">
        <f>IF(K417&gt;=0,K417,0)</f>
        <v>0</v>
      </c>
      <c r="M417" s="58">
        <f>IF(K417&lt;=0,K417,0)</f>
        <v>0</v>
      </c>
      <c r="N417" s="58">
        <f>L417+-M417</f>
        <v>0</v>
      </c>
      <c r="O417" s="19"/>
      <c r="P417" s="19">
        <f t="shared" si="17"/>
        <v>0</v>
      </c>
      <c r="Q417" s="19">
        <f t="shared" si="16"/>
        <v>0</v>
      </c>
    </row>
    <row r="418" spans="2:17" x14ac:dyDescent="0.2">
      <c r="B418" s="21"/>
      <c r="C418" s="22"/>
      <c r="D418" s="23"/>
      <c r="E418" s="24"/>
      <c r="F418" s="24"/>
      <c r="G418" s="24"/>
      <c r="H418" s="24"/>
      <c r="I418" s="24"/>
      <c r="J418" s="24"/>
      <c r="K418" s="24"/>
      <c r="L418" s="58">
        <f>IF(K418&gt;=0,K418,0)</f>
        <v>0</v>
      </c>
      <c r="M418" s="58">
        <f>IF(K418&lt;=0,K418,0)</f>
        <v>0</v>
      </c>
      <c r="N418" s="58">
        <f>L418+-M418</f>
        <v>0</v>
      </c>
      <c r="O418" s="19"/>
      <c r="P418" s="19">
        <f t="shared" si="17"/>
        <v>0</v>
      </c>
      <c r="Q418" s="19">
        <f t="shared" si="16"/>
        <v>0</v>
      </c>
    </row>
    <row r="419" spans="2:17" x14ac:dyDescent="0.2">
      <c r="B419" s="21"/>
      <c r="C419" s="22"/>
      <c r="D419" s="23"/>
      <c r="E419" s="24"/>
      <c r="F419" s="24"/>
      <c r="G419" s="24"/>
      <c r="H419" s="24"/>
      <c r="I419" s="24"/>
      <c r="J419" s="24"/>
      <c r="K419" s="24"/>
      <c r="L419" s="58">
        <f>IF(K419&gt;=0,K419,0)</f>
        <v>0</v>
      </c>
      <c r="M419" s="58">
        <f>IF(K419&lt;=0,K419,0)</f>
        <v>0</v>
      </c>
      <c r="N419" s="58">
        <f>L419+-M419</f>
        <v>0</v>
      </c>
      <c r="O419" s="19"/>
      <c r="P419" s="19">
        <f t="shared" si="17"/>
        <v>0</v>
      </c>
      <c r="Q419" s="19">
        <f t="shared" si="16"/>
        <v>0</v>
      </c>
    </row>
    <row r="420" spans="2:17" x14ac:dyDescent="0.2">
      <c r="B420" s="21"/>
      <c r="C420" s="22"/>
      <c r="D420" s="23"/>
      <c r="E420" s="24"/>
      <c r="F420" s="24"/>
      <c r="G420" s="24"/>
      <c r="H420" s="24"/>
      <c r="I420" s="24"/>
      <c r="J420" s="24"/>
      <c r="K420" s="24"/>
      <c r="L420" s="58">
        <f>IF(K420&gt;=0,K420,0)</f>
        <v>0</v>
      </c>
      <c r="M420" s="58">
        <f>IF(K420&lt;=0,K420,0)</f>
        <v>0</v>
      </c>
      <c r="N420" s="58">
        <f>L420+-M420</f>
        <v>0</v>
      </c>
      <c r="O420" s="19"/>
      <c r="P420" s="19">
        <f t="shared" si="17"/>
        <v>0</v>
      </c>
      <c r="Q420" s="19">
        <f t="shared" si="16"/>
        <v>0</v>
      </c>
    </row>
    <row r="421" spans="2:17" x14ac:dyDescent="0.2">
      <c r="B421" s="21"/>
      <c r="C421" s="22"/>
      <c r="D421" s="23"/>
      <c r="E421" s="24"/>
      <c r="F421" s="24"/>
      <c r="G421" s="24"/>
      <c r="H421" s="24"/>
      <c r="I421" s="24"/>
      <c r="J421" s="24"/>
      <c r="K421" s="24"/>
      <c r="L421" s="58">
        <f>IF(K421&gt;=0,K421,0)</f>
        <v>0</v>
      </c>
      <c r="M421" s="58">
        <f>IF(K421&lt;=0,K421,0)</f>
        <v>0</v>
      </c>
      <c r="N421" s="58">
        <f>L421+-M421</f>
        <v>0</v>
      </c>
      <c r="O421" s="19"/>
      <c r="P421" s="19">
        <f t="shared" si="17"/>
        <v>0</v>
      </c>
      <c r="Q421" s="19">
        <f t="shared" si="16"/>
        <v>0</v>
      </c>
    </row>
    <row r="422" spans="2:17" x14ac:dyDescent="0.2">
      <c r="B422" s="21"/>
      <c r="C422" s="22"/>
      <c r="D422" s="23"/>
      <c r="E422" s="24"/>
      <c r="F422" s="24"/>
      <c r="G422" s="24"/>
      <c r="H422" s="24"/>
      <c r="I422" s="24"/>
      <c r="J422" s="24"/>
      <c r="K422" s="24"/>
      <c r="L422" s="58">
        <f>IF(K422&gt;=0,K422,0)</f>
        <v>0</v>
      </c>
      <c r="M422" s="58">
        <f>IF(K422&lt;=0,K422,0)</f>
        <v>0</v>
      </c>
      <c r="N422" s="58">
        <f>L422+-M422</f>
        <v>0</v>
      </c>
      <c r="O422" s="19"/>
      <c r="P422" s="19">
        <f t="shared" si="17"/>
        <v>0</v>
      </c>
      <c r="Q422" s="19">
        <f t="shared" si="16"/>
        <v>0</v>
      </c>
    </row>
    <row r="423" spans="2:17" x14ac:dyDescent="0.2">
      <c r="B423" s="21"/>
      <c r="C423" s="22"/>
      <c r="D423" s="23"/>
      <c r="E423" s="24"/>
      <c r="F423" s="24"/>
      <c r="G423" s="24"/>
      <c r="H423" s="24"/>
      <c r="I423" s="24"/>
      <c r="J423" s="24"/>
      <c r="K423" s="24"/>
      <c r="L423" s="58">
        <f>IF(K423&gt;=0,K423,0)</f>
        <v>0</v>
      </c>
      <c r="M423" s="58">
        <f>IF(K423&lt;=0,K423,0)</f>
        <v>0</v>
      </c>
      <c r="N423" s="58">
        <f>L423+-M423</f>
        <v>0</v>
      </c>
      <c r="O423" s="19"/>
      <c r="P423" s="19">
        <f t="shared" si="17"/>
        <v>0</v>
      </c>
      <c r="Q423" s="19">
        <f t="shared" si="16"/>
        <v>0</v>
      </c>
    </row>
    <row r="424" spans="2:17" x14ac:dyDescent="0.2">
      <c r="B424" s="21"/>
      <c r="C424" s="22"/>
      <c r="D424" s="23"/>
      <c r="E424" s="24"/>
      <c r="F424" s="24"/>
      <c r="G424" s="24"/>
      <c r="H424" s="24"/>
      <c r="I424" s="24"/>
      <c r="J424" s="24"/>
      <c r="K424" s="24"/>
      <c r="L424" s="58">
        <f>IF(K424&gt;=0,K424,0)</f>
        <v>0</v>
      </c>
      <c r="M424" s="58">
        <f>IF(K424&lt;=0,K424,0)</f>
        <v>0</v>
      </c>
      <c r="N424" s="58">
        <f>L424+-M424</f>
        <v>0</v>
      </c>
      <c r="O424" s="19"/>
      <c r="P424" s="19">
        <f t="shared" si="17"/>
        <v>0</v>
      </c>
      <c r="Q424" s="19">
        <f t="shared" si="16"/>
        <v>0</v>
      </c>
    </row>
    <row r="425" spans="2:17" x14ac:dyDescent="0.2">
      <c r="B425" s="21"/>
      <c r="C425" s="22"/>
      <c r="D425" s="23"/>
      <c r="E425" s="24"/>
      <c r="F425" s="24"/>
      <c r="G425" s="24"/>
      <c r="H425" s="24"/>
      <c r="I425" s="24"/>
      <c r="J425" s="24"/>
      <c r="K425" s="24"/>
      <c r="L425" s="58">
        <f>IF(K425&gt;=0,K425,0)</f>
        <v>0</v>
      </c>
      <c r="M425" s="58">
        <f>IF(K425&lt;=0,K425,0)</f>
        <v>0</v>
      </c>
      <c r="N425" s="58">
        <f>L425+-M425</f>
        <v>0</v>
      </c>
      <c r="O425" s="19"/>
      <c r="P425" s="19">
        <f t="shared" si="17"/>
        <v>0</v>
      </c>
      <c r="Q425" s="19">
        <f t="shared" si="16"/>
        <v>0</v>
      </c>
    </row>
    <row r="426" spans="2:17" x14ac:dyDescent="0.2">
      <c r="B426" s="21"/>
      <c r="C426" s="22"/>
      <c r="D426" s="23"/>
      <c r="E426" s="24"/>
      <c r="F426" s="24"/>
      <c r="G426" s="24"/>
      <c r="H426" s="24"/>
      <c r="I426" s="24"/>
      <c r="J426" s="24"/>
      <c r="K426" s="24"/>
      <c r="L426" s="58">
        <f>IF(K426&gt;=0,K426,0)</f>
        <v>0</v>
      </c>
      <c r="M426" s="58">
        <f>IF(K426&lt;=0,K426,0)</f>
        <v>0</v>
      </c>
      <c r="N426" s="58">
        <f>L426+-M426</f>
        <v>0</v>
      </c>
      <c r="O426" s="19"/>
      <c r="P426" s="19">
        <f t="shared" si="17"/>
        <v>0</v>
      </c>
      <c r="Q426" s="19">
        <f t="shared" si="16"/>
        <v>0</v>
      </c>
    </row>
    <row r="427" spans="2:17" x14ac:dyDescent="0.2">
      <c r="B427" s="21"/>
      <c r="C427" s="22"/>
      <c r="D427" s="23"/>
      <c r="E427" s="24"/>
      <c r="F427" s="24"/>
      <c r="G427" s="24"/>
      <c r="H427" s="24"/>
      <c r="I427" s="24"/>
      <c r="J427" s="24"/>
      <c r="K427" s="24"/>
      <c r="L427" s="58">
        <f>IF(K427&gt;=0,K427,0)</f>
        <v>0</v>
      </c>
      <c r="M427" s="58">
        <f>IF(K427&lt;=0,K427,0)</f>
        <v>0</v>
      </c>
      <c r="N427" s="58">
        <f>L427+-M427</f>
        <v>0</v>
      </c>
      <c r="O427" s="19"/>
      <c r="P427" s="19">
        <f t="shared" si="17"/>
        <v>0</v>
      </c>
      <c r="Q427" s="19">
        <f t="shared" si="16"/>
        <v>0</v>
      </c>
    </row>
    <row r="428" spans="2:17" x14ac:dyDescent="0.2">
      <c r="B428" s="21"/>
      <c r="C428" s="22"/>
      <c r="D428" s="23"/>
      <c r="E428" s="24"/>
      <c r="F428" s="24"/>
      <c r="G428" s="24"/>
      <c r="H428" s="24"/>
      <c r="I428" s="24"/>
      <c r="J428" s="24"/>
      <c r="K428" s="24"/>
      <c r="L428" s="58">
        <f>IF(K428&gt;=0,K428,0)</f>
        <v>0</v>
      </c>
      <c r="M428" s="58">
        <f>IF(K428&lt;=0,K428,0)</f>
        <v>0</v>
      </c>
      <c r="N428" s="58">
        <f>L428+-M428</f>
        <v>0</v>
      </c>
      <c r="O428" s="19"/>
      <c r="P428" s="19">
        <f t="shared" si="17"/>
        <v>0</v>
      </c>
      <c r="Q428" s="19">
        <f t="shared" si="16"/>
        <v>0</v>
      </c>
    </row>
    <row r="429" spans="2:17" x14ac:dyDescent="0.2">
      <c r="B429" s="21"/>
      <c r="C429" s="22"/>
      <c r="D429" s="23"/>
      <c r="E429" s="24"/>
      <c r="F429" s="24"/>
      <c r="G429" s="24"/>
      <c r="H429" s="24"/>
      <c r="I429" s="24"/>
      <c r="J429" s="24"/>
      <c r="K429" s="24"/>
      <c r="L429" s="58">
        <f>IF(K429&gt;=0,K429,0)</f>
        <v>0</v>
      </c>
      <c r="M429" s="58">
        <f>IF(K429&lt;=0,K429,0)</f>
        <v>0</v>
      </c>
      <c r="N429" s="58">
        <f>L429+-M429</f>
        <v>0</v>
      </c>
      <c r="O429" s="19"/>
      <c r="P429" s="19">
        <f t="shared" si="17"/>
        <v>0</v>
      </c>
      <c r="Q429" s="19">
        <f t="shared" si="16"/>
        <v>0</v>
      </c>
    </row>
    <row r="430" spans="2:17" x14ac:dyDescent="0.2">
      <c r="B430" s="21"/>
      <c r="C430" s="22"/>
      <c r="D430" s="23"/>
      <c r="E430" s="24"/>
      <c r="F430" s="24"/>
      <c r="G430" s="24"/>
      <c r="H430" s="24"/>
      <c r="I430" s="24"/>
      <c r="J430" s="24"/>
      <c r="K430" s="24"/>
      <c r="L430" s="58">
        <f>IF(K430&gt;=0,K430,0)</f>
        <v>0</v>
      </c>
      <c r="M430" s="58">
        <f>IF(K430&lt;=0,K430,0)</f>
        <v>0</v>
      </c>
      <c r="N430" s="58">
        <f>L430+-M430</f>
        <v>0</v>
      </c>
      <c r="O430" s="19"/>
      <c r="P430" s="19">
        <f t="shared" si="17"/>
        <v>0</v>
      </c>
      <c r="Q430" s="19">
        <f t="shared" si="16"/>
        <v>0</v>
      </c>
    </row>
    <row r="431" spans="2:17" x14ac:dyDescent="0.2">
      <c r="B431" s="21"/>
      <c r="C431" s="22"/>
      <c r="D431" s="23"/>
      <c r="E431" s="24"/>
      <c r="F431" s="24"/>
      <c r="G431" s="24"/>
      <c r="H431" s="24"/>
      <c r="I431" s="24"/>
      <c r="J431" s="24"/>
      <c r="K431" s="24"/>
      <c r="L431" s="58">
        <f>IF(K431&gt;=0,K431,0)</f>
        <v>0</v>
      </c>
      <c r="M431" s="58">
        <f>IF(K431&lt;=0,K431,0)</f>
        <v>0</v>
      </c>
      <c r="N431" s="58">
        <f>L431+-M431</f>
        <v>0</v>
      </c>
      <c r="O431" s="19"/>
      <c r="P431" s="19">
        <f t="shared" si="17"/>
        <v>0</v>
      </c>
      <c r="Q431" s="19">
        <f t="shared" si="16"/>
        <v>0</v>
      </c>
    </row>
    <row r="432" spans="2:17" x14ac:dyDescent="0.2">
      <c r="B432" s="21"/>
      <c r="C432" s="22"/>
      <c r="D432" s="23"/>
      <c r="E432" s="24"/>
      <c r="F432" s="24"/>
      <c r="G432" s="24"/>
      <c r="H432" s="24"/>
      <c r="I432" s="24"/>
      <c r="J432" s="24"/>
      <c r="K432" s="24"/>
      <c r="L432" s="58">
        <f>IF(K432&gt;=0,K432,0)</f>
        <v>0</v>
      </c>
      <c r="M432" s="58">
        <f>IF(K432&lt;=0,K432,0)</f>
        <v>0</v>
      </c>
      <c r="N432" s="58">
        <f>L432+-M432</f>
        <v>0</v>
      </c>
      <c r="O432" s="19"/>
      <c r="P432" s="19">
        <f t="shared" si="17"/>
        <v>0</v>
      </c>
      <c r="Q432" s="19">
        <f t="shared" si="16"/>
        <v>0</v>
      </c>
    </row>
    <row r="433" spans="2:17" x14ac:dyDescent="0.2">
      <c r="B433" s="21"/>
      <c r="C433" s="22"/>
      <c r="D433" s="23"/>
      <c r="E433" s="24"/>
      <c r="F433" s="24"/>
      <c r="G433" s="24"/>
      <c r="H433" s="24"/>
      <c r="I433" s="24"/>
      <c r="J433" s="24"/>
      <c r="K433" s="24"/>
      <c r="L433" s="58">
        <f>IF(K433&gt;=0,K433,0)</f>
        <v>0</v>
      </c>
      <c r="M433" s="58">
        <f>IF(K433&lt;=0,K433,0)</f>
        <v>0</v>
      </c>
      <c r="N433" s="58">
        <f>L433+-M433</f>
        <v>0</v>
      </c>
      <c r="O433" s="19"/>
      <c r="P433" s="19">
        <f t="shared" si="17"/>
        <v>0</v>
      </c>
      <c r="Q433" s="19">
        <f t="shared" si="16"/>
        <v>0</v>
      </c>
    </row>
    <row r="434" spans="2:17" x14ac:dyDescent="0.2">
      <c r="B434" s="21"/>
      <c r="C434" s="22"/>
      <c r="D434" s="23"/>
      <c r="E434" s="24"/>
      <c r="F434" s="24"/>
      <c r="G434" s="24"/>
      <c r="H434" s="24"/>
      <c r="I434" s="24"/>
      <c r="J434" s="24"/>
      <c r="K434" s="24"/>
      <c r="L434" s="58">
        <f>IF(K434&gt;=0,K434,0)</f>
        <v>0</v>
      </c>
      <c r="M434" s="58">
        <f>IF(K434&lt;=0,K434,0)</f>
        <v>0</v>
      </c>
      <c r="N434" s="58">
        <f>L434+-M434</f>
        <v>0</v>
      </c>
      <c r="O434" s="19"/>
      <c r="P434" s="19">
        <f t="shared" si="17"/>
        <v>0</v>
      </c>
      <c r="Q434" s="19">
        <f t="shared" si="16"/>
        <v>0</v>
      </c>
    </row>
    <row r="435" spans="2:17" x14ac:dyDescent="0.2">
      <c r="B435" s="21"/>
      <c r="C435" s="22"/>
      <c r="D435" s="23"/>
      <c r="E435" s="24"/>
      <c r="F435" s="24"/>
      <c r="G435" s="24"/>
      <c r="H435" s="24"/>
      <c r="I435" s="24"/>
      <c r="J435" s="24"/>
      <c r="K435" s="24"/>
      <c r="L435" s="58">
        <f>IF(K435&gt;=0,K435,0)</f>
        <v>0</v>
      </c>
      <c r="M435" s="58">
        <f>IF(K435&lt;=0,K435,0)</f>
        <v>0</v>
      </c>
      <c r="N435" s="58">
        <f>L435+-M435</f>
        <v>0</v>
      </c>
      <c r="O435" s="19"/>
      <c r="P435" s="19">
        <f t="shared" si="17"/>
        <v>0</v>
      </c>
      <c r="Q435" s="19">
        <f t="shared" si="16"/>
        <v>0</v>
      </c>
    </row>
    <row r="436" spans="2:17" x14ac:dyDescent="0.2">
      <c r="B436" s="21"/>
      <c r="C436" s="22"/>
      <c r="D436" s="23"/>
      <c r="E436" s="24"/>
      <c r="F436" s="24"/>
      <c r="G436" s="24"/>
      <c r="H436" s="24"/>
      <c r="I436" s="24"/>
      <c r="J436" s="24"/>
      <c r="K436" s="24"/>
      <c r="L436" s="58">
        <f>IF(K436&gt;=0,K436,0)</f>
        <v>0</v>
      </c>
      <c r="M436" s="58">
        <f>IF(K436&lt;=0,K436,0)</f>
        <v>0</v>
      </c>
      <c r="N436" s="58">
        <f>L436+-M436</f>
        <v>0</v>
      </c>
      <c r="O436" s="19"/>
      <c r="P436" s="19">
        <f t="shared" si="17"/>
        <v>0</v>
      </c>
      <c r="Q436" s="19">
        <f t="shared" si="16"/>
        <v>0</v>
      </c>
    </row>
    <row r="437" spans="2:17" x14ac:dyDescent="0.2">
      <c r="B437" s="21"/>
      <c r="C437" s="22"/>
      <c r="D437" s="23"/>
      <c r="E437" s="24"/>
      <c r="F437" s="24"/>
      <c r="G437" s="24"/>
      <c r="H437" s="24"/>
      <c r="I437" s="24"/>
      <c r="J437" s="24"/>
      <c r="K437" s="24"/>
      <c r="L437" s="58">
        <f>IF(K437&gt;=0,K437,0)</f>
        <v>0</v>
      </c>
      <c r="M437" s="58">
        <f>IF(K437&lt;=0,K437,0)</f>
        <v>0</v>
      </c>
      <c r="N437" s="58">
        <f>L437+-M437</f>
        <v>0</v>
      </c>
      <c r="O437" s="19"/>
      <c r="P437" s="19">
        <f t="shared" si="17"/>
        <v>0</v>
      </c>
      <c r="Q437" s="19">
        <f t="shared" si="16"/>
        <v>0</v>
      </c>
    </row>
    <row r="438" spans="2:17" x14ac:dyDescent="0.2">
      <c r="B438" s="21"/>
      <c r="C438" s="22"/>
      <c r="D438" s="23"/>
      <c r="E438" s="24"/>
      <c r="F438" s="24"/>
      <c r="G438" s="24"/>
      <c r="H438" s="24"/>
      <c r="I438" s="24"/>
      <c r="J438" s="24"/>
      <c r="K438" s="24"/>
      <c r="L438" s="58">
        <f>IF(K438&gt;=0,K438,0)</f>
        <v>0</v>
      </c>
      <c r="M438" s="58">
        <f>IF(K438&lt;=0,K438,0)</f>
        <v>0</v>
      </c>
      <c r="N438" s="58">
        <f>L438+-M438</f>
        <v>0</v>
      </c>
      <c r="O438" s="19"/>
      <c r="P438" s="19">
        <f t="shared" si="17"/>
        <v>0</v>
      </c>
      <c r="Q438" s="19">
        <f t="shared" si="16"/>
        <v>0</v>
      </c>
    </row>
    <row r="439" spans="2:17" x14ac:dyDescent="0.2">
      <c r="B439" s="21"/>
      <c r="C439" s="22"/>
      <c r="D439" s="23"/>
      <c r="E439" s="24"/>
      <c r="F439" s="24"/>
      <c r="G439" s="24"/>
      <c r="H439" s="24"/>
      <c r="I439" s="24"/>
      <c r="J439" s="24"/>
      <c r="K439" s="24"/>
      <c r="L439" s="58">
        <f>IF(K439&gt;=0,K439,0)</f>
        <v>0</v>
      </c>
      <c r="M439" s="58">
        <f>IF(K439&lt;=0,K439,0)</f>
        <v>0</v>
      </c>
      <c r="N439" s="58">
        <f>L439+-M439</f>
        <v>0</v>
      </c>
      <c r="O439" s="19"/>
      <c r="P439" s="19">
        <f t="shared" si="17"/>
        <v>0</v>
      </c>
      <c r="Q439" s="19">
        <f t="shared" si="16"/>
        <v>0</v>
      </c>
    </row>
    <row r="440" spans="2:17" x14ac:dyDescent="0.2">
      <c r="B440" s="21"/>
      <c r="C440" s="22"/>
      <c r="D440" s="23"/>
      <c r="E440" s="24"/>
      <c r="F440" s="24"/>
      <c r="G440" s="24"/>
      <c r="H440" s="24"/>
      <c r="I440" s="24"/>
      <c r="J440" s="24"/>
      <c r="K440" s="24"/>
      <c r="L440" s="58">
        <f>IF(K440&gt;=0,K440,0)</f>
        <v>0</v>
      </c>
      <c r="M440" s="58">
        <f>IF(K440&lt;=0,K440,0)</f>
        <v>0</v>
      </c>
      <c r="N440" s="58">
        <f>L440+-M440</f>
        <v>0</v>
      </c>
      <c r="O440" s="19"/>
      <c r="P440" s="19">
        <f t="shared" si="17"/>
        <v>0</v>
      </c>
      <c r="Q440" s="19">
        <f t="shared" si="16"/>
        <v>0</v>
      </c>
    </row>
    <row r="441" spans="2:17" x14ac:dyDescent="0.2">
      <c r="B441" s="21"/>
      <c r="C441" s="22"/>
      <c r="D441" s="23"/>
      <c r="E441" s="24"/>
      <c r="F441" s="24"/>
      <c r="G441" s="24"/>
      <c r="H441" s="24"/>
      <c r="I441" s="24"/>
      <c r="J441" s="24"/>
      <c r="K441" s="24"/>
      <c r="L441" s="58">
        <f>IF(K441&gt;=0,K441,0)</f>
        <v>0</v>
      </c>
      <c r="M441" s="58">
        <f>IF(K441&lt;=0,K441,0)</f>
        <v>0</v>
      </c>
      <c r="N441" s="58">
        <f>L441+-M441</f>
        <v>0</v>
      </c>
      <c r="O441" s="19"/>
      <c r="P441" s="19">
        <f t="shared" si="17"/>
        <v>0</v>
      </c>
      <c r="Q441" s="19">
        <f t="shared" si="16"/>
        <v>0</v>
      </c>
    </row>
    <row r="442" spans="2:17" x14ac:dyDescent="0.2">
      <c r="B442" s="21"/>
      <c r="C442" s="22"/>
      <c r="D442" s="23"/>
      <c r="E442" s="24"/>
      <c r="F442" s="24"/>
      <c r="G442" s="24"/>
      <c r="H442" s="24"/>
      <c r="I442" s="24"/>
      <c r="J442" s="24"/>
      <c r="K442" s="24"/>
      <c r="L442" s="58">
        <f>IF(K442&gt;=0,K442,0)</f>
        <v>0</v>
      </c>
      <c r="M442" s="58">
        <f>IF(K442&lt;=0,K442,0)</f>
        <v>0</v>
      </c>
      <c r="N442" s="58">
        <f>L442+-M442</f>
        <v>0</v>
      </c>
      <c r="O442" s="19"/>
      <c r="P442" s="19">
        <f t="shared" si="17"/>
        <v>0</v>
      </c>
      <c r="Q442" s="19">
        <f t="shared" si="16"/>
        <v>0</v>
      </c>
    </row>
    <row r="443" spans="2:17" x14ac:dyDescent="0.2">
      <c r="B443" s="21"/>
      <c r="C443" s="22"/>
      <c r="D443" s="23"/>
      <c r="E443" s="24"/>
      <c r="F443" s="24"/>
      <c r="G443" s="24"/>
      <c r="H443" s="24"/>
      <c r="I443" s="24"/>
      <c r="J443" s="24"/>
      <c r="K443" s="24"/>
      <c r="L443" s="58">
        <f>IF(K443&gt;=0,K443,0)</f>
        <v>0</v>
      </c>
      <c r="M443" s="58">
        <f>IF(K443&lt;=0,K443,0)</f>
        <v>0</v>
      </c>
      <c r="N443" s="58">
        <f>L443+-M443</f>
        <v>0</v>
      </c>
      <c r="O443" s="19"/>
      <c r="P443" s="19">
        <f t="shared" si="17"/>
        <v>0</v>
      </c>
      <c r="Q443" s="19">
        <f t="shared" si="16"/>
        <v>0</v>
      </c>
    </row>
    <row r="444" spans="2:17" x14ac:dyDescent="0.2">
      <c r="B444" s="21"/>
      <c r="C444" s="22"/>
      <c r="D444" s="23"/>
      <c r="E444" s="24"/>
      <c r="F444" s="24"/>
      <c r="G444" s="24"/>
      <c r="H444" s="24"/>
      <c r="I444" s="24"/>
      <c r="J444" s="24"/>
      <c r="K444" s="24"/>
      <c r="L444" s="58">
        <f>IF(K444&gt;=0,K444,0)</f>
        <v>0</v>
      </c>
      <c r="M444" s="58">
        <f>IF(K444&lt;=0,K444,0)</f>
        <v>0</v>
      </c>
      <c r="N444" s="58">
        <f>L444+-M444</f>
        <v>0</v>
      </c>
      <c r="O444" s="19"/>
      <c r="P444" s="19">
        <f t="shared" si="17"/>
        <v>0</v>
      </c>
      <c r="Q444" s="19">
        <f t="shared" ref="Q444:Q507" si="18">P444+Q443</f>
        <v>0</v>
      </c>
    </row>
    <row r="445" spans="2:17" x14ac:dyDescent="0.2">
      <c r="B445" s="21"/>
      <c r="C445" s="22"/>
      <c r="D445" s="23"/>
      <c r="E445" s="24"/>
      <c r="F445" s="24"/>
      <c r="G445" s="24"/>
      <c r="H445" s="24"/>
      <c r="I445" s="24"/>
      <c r="J445" s="24"/>
      <c r="K445" s="24"/>
      <c r="L445" s="58">
        <f>IF(K445&gt;=0,K445,0)</f>
        <v>0</v>
      </c>
      <c r="M445" s="58">
        <f>IF(K445&lt;=0,K445,0)</f>
        <v>0</v>
      </c>
      <c r="N445" s="58">
        <f>L445+-M445</f>
        <v>0</v>
      </c>
      <c r="O445" s="19"/>
      <c r="P445" s="19">
        <f t="shared" si="17"/>
        <v>0</v>
      </c>
      <c r="Q445" s="19">
        <f t="shared" si="18"/>
        <v>0</v>
      </c>
    </row>
    <row r="446" spans="2:17" x14ac:dyDescent="0.2">
      <c r="B446" s="21"/>
      <c r="C446" s="22"/>
      <c r="D446" s="23"/>
      <c r="E446" s="24"/>
      <c r="F446" s="24"/>
      <c r="G446" s="24"/>
      <c r="H446" s="24"/>
      <c r="I446" s="24"/>
      <c r="J446" s="24"/>
      <c r="K446" s="24"/>
      <c r="L446" s="58">
        <f>IF(K446&gt;=0,K446,0)</f>
        <v>0</v>
      </c>
      <c r="M446" s="58">
        <f>IF(K446&lt;=0,K446,0)</f>
        <v>0</v>
      </c>
      <c r="N446" s="58">
        <f>L446+-M446</f>
        <v>0</v>
      </c>
      <c r="O446" s="19"/>
      <c r="P446" s="19">
        <f t="shared" si="17"/>
        <v>0</v>
      </c>
      <c r="Q446" s="19">
        <f t="shared" si="18"/>
        <v>0</v>
      </c>
    </row>
    <row r="447" spans="2:17" x14ac:dyDescent="0.2">
      <c r="B447" s="21"/>
      <c r="C447" s="22"/>
      <c r="D447" s="23"/>
      <c r="E447" s="24"/>
      <c r="F447" s="24"/>
      <c r="G447" s="24"/>
      <c r="H447" s="24"/>
      <c r="I447" s="24"/>
      <c r="J447" s="24"/>
      <c r="K447" s="24"/>
      <c r="L447" s="58">
        <f>IF(K447&gt;=0,K447,0)</f>
        <v>0</v>
      </c>
      <c r="M447" s="58">
        <f>IF(K447&lt;=0,K447,0)</f>
        <v>0</v>
      </c>
      <c r="N447" s="58">
        <f>L447+-M447</f>
        <v>0</v>
      </c>
      <c r="O447" s="19"/>
      <c r="P447" s="19">
        <f t="shared" si="17"/>
        <v>0</v>
      </c>
      <c r="Q447" s="19">
        <f t="shared" si="18"/>
        <v>0</v>
      </c>
    </row>
    <row r="448" spans="2:17" x14ac:dyDescent="0.2">
      <c r="B448" s="21"/>
      <c r="C448" s="22"/>
      <c r="D448" s="23"/>
      <c r="E448" s="24"/>
      <c r="F448" s="24"/>
      <c r="G448" s="24"/>
      <c r="H448" s="24"/>
      <c r="I448" s="24"/>
      <c r="J448" s="24"/>
      <c r="K448" s="24"/>
      <c r="L448" s="58">
        <f>IF(K448&gt;=0,K448,0)</f>
        <v>0</v>
      </c>
      <c r="M448" s="58">
        <f>IF(K448&lt;=0,K448,0)</f>
        <v>0</v>
      </c>
      <c r="N448" s="58">
        <f>L448+-M448</f>
        <v>0</v>
      </c>
      <c r="O448" s="19"/>
      <c r="P448" s="19">
        <f t="shared" si="17"/>
        <v>0</v>
      </c>
      <c r="Q448" s="19">
        <f t="shared" si="18"/>
        <v>0</v>
      </c>
    </row>
    <row r="449" spans="2:17" x14ac:dyDescent="0.2">
      <c r="B449" s="21"/>
      <c r="C449" s="22"/>
      <c r="D449" s="23"/>
      <c r="E449" s="24"/>
      <c r="F449" s="24"/>
      <c r="G449" s="24"/>
      <c r="H449" s="24"/>
      <c r="I449" s="24"/>
      <c r="J449" s="24"/>
      <c r="K449" s="24"/>
      <c r="L449" s="58">
        <f>IF(K449&gt;=0,K449,0)</f>
        <v>0</v>
      </c>
      <c r="M449" s="58">
        <f>IF(K449&lt;=0,K449,0)</f>
        <v>0</v>
      </c>
      <c r="N449" s="58">
        <f>L449+-M449</f>
        <v>0</v>
      </c>
      <c r="O449" s="19"/>
      <c r="P449" s="19">
        <f t="shared" si="17"/>
        <v>0</v>
      </c>
      <c r="Q449" s="19">
        <f t="shared" si="18"/>
        <v>0</v>
      </c>
    </row>
    <row r="450" spans="2:17" x14ac:dyDescent="0.2">
      <c r="B450" s="21"/>
      <c r="C450" s="22"/>
      <c r="D450" s="23"/>
      <c r="E450" s="24"/>
      <c r="F450" s="24"/>
      <c r="G450" s="24"/>
      <c r="H450" s="24"/>
      <c r="I450" s="24"/>
      <c r="J450" s="24"/>
      <c r="K450" s="24"/>
      <c r="L450" s="58">
        <f>IF(K450&gt;=0,K450,0)</f>
        <v>0</v>
      </c>
      <c r="M450" s="58">
        <f>IF(K450&lt;=0,K450,0)</f>
        <v>0</v>
      </c>
      <c r="N450" s="58">
        <f>L450+-M450</f>
        <v>0</v>
      </c>
      <c r="O450" s="19"/>
      <c r="P450" s="19">
        <f t="shared" si="17"/>
        <v>0</v>
      </c>
      <c r="Q450" s="19">
        <f t="shared" si="18"/>
        <v>0</v>
      </c>
    </row>
    <row r="451" spans="2:17" x14ac:dyDescent="0.2">
      <c r="B451" s="21"/>
      <c r="C451" s="22"/>
      <c r="D451" s="23"/>
      <c r="E451" s="24"/>
      <c r="F451" s="24"/>
      <c r="G451" s="24"/>
      <c r="H451" s="24"/>
      <c r="I451" s="24"/>
      <c r="J451" s="24"/>
      <c r="K451" s="24"/>
      <c r="L451" s="58">
        <f>IF(K451&gt;=0,K451,0)</f>
        <v>0</v>
      </c>
      <c r="M451" s="58">
        <f>IF(K451&lt;=0,K451,0)</f>
        <v>0</v>
      </c>
      <c r="N451" s="58">
        <f>L451+-M451</f>
        <v>0</v>
      </c>
      <c r="O451" s="19"/>
      <c r="P451" s="19">
        <f t="shared" si="17"/>
        <v>0</v>
      </c>
      <c r="Q451" s="19">
        <f t="shared" si="18"/>
        <v>0</v>
      </c>
    </row>
    <row r="452" spans="2:17" x14ac:dyDescent="0.2">
      <c r="B452" s="21"/>
      <c r="C452" s="22"/>
      <c r="D452" s="23"/>
      <c r="E452" s="24"/>
      <c r="F452" s="24"/>
      <c r="G452" s="24"/>
      <c r="H452" s="24"/>
      <c r="I452" s="24"/>
      <c r="J452" s="24"/>
      <c r="K452" s="24"/>
      <c r="L452" s="58">
        <f>IF(K452&gt;=0,K452,0)</f>
        <v>0</v>
      </c>
      <c r="M452" s="58">
        <f>IF(K452&lt;=0,K452,0)</f>
        <v>0</v>
      </c>
      <c r="N452" s="58">
        <f>L452+-M452</f>
        <v>0</v>
      </c>
      <c r="O452" s="19"/>
      <c r="P452" s="19">
        <f t="shared" si="17"/>
        <v>0</v>
      </c>
      <c r="Q452" s="19">
        <f t="shared" si="18"/>
        <v>0</v>
      </c>
    </row>
    <row r="453" spans="2:17" x14ac:dyDescent="0.2">
      <c r="B453" s="21"/>
      <c r="C453" s="22"/>
      <c r="D453" s="23"/>
      <c r="E453" s="24"/>
      <c r="F453" s="24"/>
      <c r="G453" s="24"/>
      <c r="H453" s="24"/>
      <c r="I453" s="24"/>
      <c r="J453" s="24"/>
      <c r="K453" s="24"/>
      <c r="L453" s="58">
        <f>IF(K453&gt;=0,K453,0)</f>
        <v>0</v>
      </c>
      <c r="M453" s="58">
        <f>IF(K453&lt;=0,K453,0)</f>
        <v>0</v>
      </c>
      <c r="N453" s="58">
        <f>L453+-M453</f>
        <v>0</v>
      </c>
      <c r="O453" s="19"/>
      <c r="P453" s="19">
        <f t="shared" si="17"/>
        <v>0</v>
      </c>
      <c r="Q453" s="19">
        <f t="shared" si="18"/>
        <v>0</v>
      </c>
    </row>
    <row r="454" spans="2:17" x14ac:dyDescent="0.2">
      <c r="B454" s="21"/>
      <c r="C454" s="22"/>
      <c r="D454" s="23"/>
      <c r="E454" s="24"/>
      <c r="F454" s="24"/>
      <c r="G454" s="24"/>
      <c r="H454" s="24"/>
      <c r="I454" s="24"/>
      <c r="J454" s="24"/>
      <c r="K454" s="24"/>
      <c r="L454" s="58">
        <f>IF(K454&gt;=0,K454,0)</f>
        <v>0</v>
      </c>
      <c r="M454" s="58">
        <f>IF(K454&lt;=0,K454,0)</f>
        <v>0</v>
      </c>
      <c r="N454" s="58">
        <f>L454+-M454</f>
        <v>0</v>
      </c>
      <c r="O454" s="19"/>
      <c r="P454" s="19">
        <f t="shared" si="17"/>
        <v>0</v>
      </c>
      <c r="Q454" s="19">
        <f t="shared" si="18"/>
        <v>0</v>
      </c>
    </row>
    <row r="455" spans="2:17" x14ac:dyDescent="0.2">
      <c r="B455" s="21"/>
      <c r="C455" s="22"/>
      <c r="D455" s="23"/>
      <c r="E455" s="24"/>
      <c r="F455" s="24"/>
      <c r="G455" s="24"/>
      <c r="H455" s="24"/>
      <c r="I455" s="24"/>
      <c r="J455" s="24"/>
      <c r="K455" s="24"/>
      <c r="L455" s="58">
        <f>IF(K455&gt;=0,K455,0)</f>
        <v>0</v>
      </c>
      <c r="M455" s="58">
        <f>IF(K455&lt;=0,K455,0)</f>
        <v>0</v>
      </c>
      <c r="N455" s="58">
        <f>L455+-M455</f>
        <v>0</v>
      </c>
      <c r="O455" s="19"/>
      <c r="P455" s="19">
        <f t="shared" ref="P455:P518" si="19">N455/$N$1055</f>
        <v>0</v>
      </c>
      <c r="Q455" s="19">
        <f t="shared" si="18"/>
        <v>0</v>
      </c>
    </row>
    <row r="456" spans="2:17" x14ac:dyDescent="0.2">
      <c r="B456" s="21"/>
      <c r="C456" s="22"/>
      <c r="D456" s="23"/>
      <c r="E456" s="24"/>
      <c r="F456" s="24"/>
      <c r="G456" s="24"/>
      <c r="H456" s="24"/>
      <c r="I456" s="24"/>
      <c r="J456" s="24"/>
      <c r="K456" s="24"/>
      <c r="L456" s="58">
        <f>IF(K456&gt;=0,K456,0)</f>
        <v>0</v>
      </c>
      <c r="M456" s="58">
        <f>IF(K456&lt;=0,K456,0)</f>
        <v>0</v>
      </c>
      <c r="N456" s="58">
        <f>L456+-M456</f>
        <v>0</v>
      </c>
      <c r="O456" s="19"/>
      <c r="P456" s="19">
        <f t="shared" si="19"/>
        <v>0</v>
      </c>
      <c r="Q456" s="19">
        <f t="shared" si="18"/>
        <v>0</v>
      </c>
    </row>
    <row r="457" spans="2:17" x14ac:dyDescent="0.2">
      <c r="B457" s="21"/>
      <c r="C457" s="22"/>
      <c r="D457" s="23"/>
      <c r="E457" s="24"/>
      <c r="F457" s="24"/>
      <c r="G457" s="24"/>
      <c r="H457" s="24"/>
      <c r="I457" s="24"/>
      <c r="J457" s="24"/>
      <c r="K457" s="24"/>
      <c r="L457" s="58">
        <f>IF(K457&gt;=0,K457,0)</f>
        <v>0</v>
      </c>
      <c r="M457" s="58">
        <f>IF(K457&lt;=0,K457,0)</f>
        <v>0</v>
      </c>
      <c r="N457" s="58">
        <f>L457+-M457</f>
        <v>0</v>
      </c>
      <c r="O457" s="19"/>
      <c r="P457" s="19">
        <f t="shared" si="19"/>
        <v>0</v>
      </c>
      <c r="Q457" s="19">
        <f t="shared" si="18"/>
        <v>0</v>
      </c>
    </row>
    <row r="458" spans="2:17" x14ac:dyDescent="0.2">
      <c r="B458" s="21"/>
      <c r="C458" s="22"/>
      <c r="D458" s="23"/>
      <c r="E458" s="24"/>
      <c r="F458" s="24"/>
      <c r="G458" s="24"/>
      <c r="H458" s="24"/>
      <c r="I458" s="24"/>
      <c r="J458" s="24"/>
      <c r="K458" s="24"/>
      <c r="L458" s="58">
        <f>IF(K458&gt;=0,K458,0)</f>
        <v>0</v>
      </c>
      <c r="M458" s="58">
        <f>IF(K458&lt;=0,K458,0)</f>
        <v>0</v>
      </c>
      <c r="N458" s="58">
        <f>L458+-M458</f>
        <v>0</v>
      </c>
      <c r="O458" s="19"/>
      <c r="P458" s="19">
        <f t="shared" si="19"/>
        <v>0</v>
      </c>
      <c r="Q458" s="19">
        <f t="shared" si="18"/>
        <v>0</v>
      </c>
    </row>
    <row r="459" spans="2:17" x14ac:dyDescent="0.2">
      <c r="B459" s="21"/>
      <c r="C459" s="22"/>
      <c r="D459" s="23"/>
      <c r="E459" s="24"/>
      <c r="F459" s="24"/>
      <c r="G459" s="24"/>
      <c r="H459" s="24"/>
      <c r="I459" s="24"/>
      <c r="J459" s="24"/>
      <c r="K459" s="24"/>
      <c r="L459" s="58">
        <f>IF(K459&gt;=0,K459,0)</f>
        <v>0</v>
      </c>
      <c r="M459" s="58">
        <f>IF(K459&lt;=0,K459,0)</f>
        <v>0</v>
      </c>
      <c r="N459" s="58">
        <f>L459+-M459</f>
        <v>0</v>
      </c>
      <c r="O459" s="19"/>
      <c r="P459" s="19">
        <f t="shared" si="19"/>
        <v>0</v>
      </c>
      <c r="Q459" s="19">
        <f t="shared" si="18"/>
        <v>0</v>
      </c>
    </row>
    <row r="460" spans="2:17" x14ac:dyDescent="0.2">
      <c r="B460" s="21"/>
      <c r="C460" s="22"/>
      <c r="D460" s="23"/>
      <c r="E460" s="24"/>
      <c r="F460" s="24"/>
      <c r="G460" s="24"/>
      <c r="H460" s="24"/>
      <c r="I460" s="24"/>
      <c r="J460" s="24"/>
      <c r="K460" s="24"/>
      <c r="L460" s="58">
        <f>IF(K460&gt;=0,K460,0)</f>
        <v>0</v>
      </c>
      <c r="M460" s="58">
        <f>IF(K460&lt;=0,K460,0)</f>
        <v>0</v>
      </c>
      <c r="N460" s="58">
        <f>L460+-M460</f>
        <v>0</v>
      </c>
      <c r="O460" s="19"/>
      <c r="P460" s="19">
        <f t="shared" si="19"/>
        <v>0</v>
      </c>
      <c r="Q460" s="19">
        <f t="shared" si="18"/>
        <v>0</v>
      </c>
    </row>
    <row r="461" spans="2:17" x14ac:dyDescent="0.2">
      <c r="B461" s="21"/>
      <c r="C461" s="22"/>
      <c r="D461" s="23"/>
      <c r="E461" s="24"/>
      <c r="F461" s="24"/>
      <c r="G461" s="24"/>
      <c r="H461" s="24"/>
      <c r="I461" s="24"/>
      <c r="J461" s="24"/>
      <c r="K461" s="24"/>
      <c r="L461" s="58">
        <f>IF(K461&gt;=0,K461,0)</f>
        <v>0</v>
      </c>
      <c r="M461" s="58">
        <f>IF(K461&lt;=0,K461,0)</f>
        <v>0</v>
      </c>
      <c r="N461" s="58">
        <f>L461+-M461</f>
        <v>0</v>
      </c>
      <c r="O461" s="19"/>
      <c r="P461" s="19">
        <f t="shared" si="19"/>
        <v>0</v>
      </c>
      <c r="Q461" s="19">
        <f t="shared" si="18"/>
        <v>0</v>
      </c>
    </row>
    <row r="462" spans="2:17" x14ac:dyDescent="0.2">
      <c r="B462" s="21"/>
      <c r="C462" s="22"/>
      <c r="D462" s="23"/>
      <c r="E462" s="24"/>
      <c r="F462" s="24"/>
      <c r="G462" s="24"/>
      <c r="H462" s="24"/>
      <c r="I462" s="24"/>
      <c r="J462" s="24"/>
      <c r="K462" s="24"/>
      <c r="L462" s="58">
        <f>IF(K462&gt;=0,K462,0)</f>
        <v>0</v>
      </c>
      <c r="M462" s="58">
        <f>IF(K462&lt;=0,K462,0)</f>
        <v>0</v>
      </c>
      <c r="N462" s="58">
        <f>L462+-M462</f>
        <v>0</v>
      </c>
      <c r="O462" s="19"/>
      <c r="P462" s="19">
        <f t="shared" si="19"/>
        <v>0</v>
      </c>
      <c r="Q462" s="19">
        <f t="shared" si="18"/>
        <v>0</v>
      </c>
    </row>
    <row r="463" spans="2:17" x14ac:dyDescent="0.2">
      <c r="B463" s="21"/>
      <c r="C463" s="22"/>
      <c r="D463" s="23"/>
      <c r="E463" s="24"/>
      <c r="F463" s="24"/>
      <c r="G463" s="24"/>
      <c r="H463" s="24"/>
      <c r="I463" s="24"/>
      <c r="J463" s="24"/>
      <c r="K463" s="24"/>
      <c r="L463" s="58">
        <f>IF(K463&gt;=0,K463,0)</f>
        <v>0</v>
      </c>
      <c r="M463" s="58">
        <f>IF(K463&lt;=0,K463,0)</f>
        <v>0</v>
      </c>
      <c r="N463" s="58">
        <f>L463+-M463</f>
        <v>0</v>
      </c>
      <c r="O463" s="19"/>
      <c r="P463" s="19">
        <f t="shared" si="19"/>
        <v>0</v>
      </c>
      <c r="Q463" s="19">
        <f t="shared" si="18"/>
        <v>0</v>
      </c>
    </row>
    <row r="464" spans="2:17" x14ac:dyDescent="0.2">
      <c r="B464" s="21"/>
      <c r="C464" s="22"/>
      <c r="D464" s="23"/>
      <c r="E464" s="24"/>
      <c r="F464" s="24"/>
      <c r="G464" s="24"/>
      <c r="H464" s="24"/>
      <c r="I464" s="24"/>
      <c r="J464" s="24"/>
      <c r="K464" s="24"/>
      <c r="L464" s="58">
        <f>IF(K464&gt;=0,K464,0)</f>
        <v>0</v>
      </c>
      <c r="M464" s="58">
        <f>IF(K464&lt;=0,K464,0)</f>
        <v>0</v>
      </c>
      <c r="N464" s="58">
        <f>L464+-M464</f>
        <v>0</v>
      </c>
      <c r="O464" s="19"/>
      <c r="P464" s="19">
        <f t="shared" si="19"/>
        <v>0</v>
      </c>
      <c r="Q464" s="19">
        <f t="shared" si="18"/>
        <v>0</v>
      </c>
    </row>
    <row r="465" spans="2:17" x14ac:dyDescent="0.2">
      <c r="B465" s="21"/>
      <c r="C465" s="22"/>
      <c r="D465" s="23"/>
      <c r="E465" s="24"/>
      <c r="F465" s="24"/>
      <c r="G465" s="24"/>
      <c r="H465" s="24"/>
      <c r="I465" s="24"/>
      <c r="J465" s="24"/>
      <c r="K465" s="24"/>
      <c r="L465" s="58">
        <f>IF(K465&gt;=0,K465,0)</f>
        <v>0</v>
      </c>
      <c r="M465" s="58">
        <f>IF(K465&lt;=0,K465,0)</f>
        <v>0</v>
      </c>
      <c r="N465" s="58">
        <f>L465+-M465</f>
        <v>0</v>
      </c>
      <c r="O465" s="19"/>
      <c r="P465" s="19">
        <f t="shared" si="19"/>
        <v>0</v>
      </c>
      <c r="Q465" s="19">
        <f t="shared" si="18"/>
        <v>0</v>
      </c>
    </row>
    <row r="466" spans="2:17" x14ac:dyDescent="0.2">
      <c r="B466" s="21"/>
      <c r="C466" s="22"/>
      <c r="D466" s="23"/>
      <c r="E466" s="24"/>
      <c r="F466" s="24"/>
      <c r="G466" s="24"/>
      <c r="H466" s="24"/>
      <c r="I466" s="24"/>
      <c r="J466" s="24"/>
      <c r="K466" s="24"/>
      <c r="L466" s="58">
        <f>IF(K466&gt;=0,K466,0)</f>
        <v>0</v>
      </c>
      <c r="M466" s="58">
        <f>IF(K466&lt;=0,K466,0)</f>
        <v>0</v>
      </c>
      <c r="N466" s="58">
        <f>L466+-M466</f>
        <v>0</v>
      </c>
      <c r="O466" s="19"/>
      <c r="P466" s="19">
        <f t="shared" si="19"/>
        <v>0</v>
      </c>
      <c r="Q466" s="19">
        <f t="shared" si="18"/>
        <v>0</v>
      </c>
    </row>
    <row r="467" spans="2:17" x14ac:dyDescent="0.2">
      <c r="B467" s="21"/>
      <c r="C467" s="22"/>
      <c r="D467" s="23"/>
      <c r="E467" s="24"/>
      <c r="F467" s="24"/>
      <c r="G467" s="24"/>
      <c r="H467" s="24"/>
      <c r="I467" s="24"/>
      <c r="J467" s="24"/>
      <c r="K467" s="24"/>
      <c r="L467" s="58">
        <f>IF(K467&gt;=0,K467,0)</f>
        <v>0</v>
      </c>
      <c r="M467" s="58">
        <f>IF(K467&lt;=0,K467,0)</f>
        <v>0</v>
      </c>
      <c r="N467" s="58">
        <f>L467+-M467</f>
        <v>0</v>
      </c>
      <c r="O467" s="19"/>
      <c r="P467" s="19">
        <f t="shared" si="19"/>
        <v>0</v>
      </c>
      <c r="Q467" s="19">
        <f t="shared" si="18"/>
        <v>0</v>
      </c>
    </row>
    <row r="468" spans="2:17" x14ac:dyDescent="0.2">
      <c r="B468" s="21"/>
      <c r="C468" s="22"/>
      <c r="D468" s="23"/>
      <c r="E468" s="24"/>
      <c r="F468" s="24"/>
      <c r="G468" s="24"/>
      <c r="H468" s="24"/>
      <c r="I468" s="24"/>
      <c r="J468" s="24"/>
      <c r="K468" s="24"/>
      <c r="L468" s="58">
        <f>IF(K468&gt;=0,K468,0)</f>
        <v>0</v>
      </c>
      <c r="M468" s="58">
        <f>IF(K468&lt;=0,K468,0)</f>
        <v>0</v>
      </c>
      <c r="N468" s="58">
        <f>L468+-M468</f>
        <v>0</v>
      </c>
      <c r="O468" s="19"/>
      <c r="P468" s="19">
        <f t="shared" si="19"/>
        <v>0</v>
      </c>
      <c r="Q468" s="19">
        <f t="shared" si="18"/>
        <v>0</v>
      </c>
    </row>
    <row r="469" spans="2:17" x14ac:dyDescent="0.2">
      <c r="B469" s="21"/>
      <c r="C469" s="22"/>
      <c r="D469" s="23"/>
      <c r="E469" s="24"/>
      <c r="F469" s="24"/>
      <c r="G469" s="24"/>
      <c r="H469" s="24"/>
      <c r="I469" s="24"/>
      <c r="J469" s="24"/>
      <c r="K469" s="24"/>
      <c r="L469" s="58">
        <f>IF(K469&gt;=0,K469,0)</f>
        <v>0</v>
      </c>
      <c r="M469" s="58">
        <f>IF(K469&lt;=0,K469,0)</f>
        <v>0</v>
      </c>
      <c r="N469" s="58">
        <f>L469+-M469</f>
        <v>0</v>
      </c>
      <c r="O469" s="19"/>
      <c r="P469" s="19">
        <f t="shared" si="19"/>
        <v>0</v>
      </c>
      <c r="Q469" s="19">
        <f t="shared" si="18"/>
        <v>0</v>
      </c>
    </row>
    <row r="470" spans="2:17" x14ac:dyDescent="0.2">
      <c r="B470" s="21"/>
      <c r="C470" s="22"/>
      <c r="D470" s="23"/>
      <c r="E470" s="24"/>
      <c r="F470" s="24"/>
      <c r="G470" s="24"/>
      <c r="H470" s="24"/>
      <c r="I470" s="24"/>
      <c r="J470" s="24"/>
      <c r="K470" s="24"/>
      <c r="L470" s="58">
        <f>IF(K470&gt;=0,K470,0)</f>
        <v>0</v>
      </c>
      <c r="M470" s="58">
        <f>IF(K470&lt;=0,K470,0)</f>
        <v>0</v>
      </c>
      <c r="N470" s="58">
        <f>L470+-M470</f>
        <v>0</v>
      </c>
      <c r="O470" s="19"/>
      <c r="P470" s="19">
        <f t="shared" si="19"/>
        <v>0</v>
      </c>
      <c r="Q470" s="19">
        <f t="shared" si="18"/>
        <v>0</v>
      </c>
    </row>
    <row r="471" spans="2:17" x14ac:dyDescent="0.2">
      <c r="B471" s="21"/>
      <c r="C471" s="22"/>
      <c r="D471" s="23"/>
      <c r="E471" s="24"/>
      <c r="F471" s="24"/>
      <c r="G471" s="24"/>
      <c r="H471" s="24"/>
      <c r="I471" s="24"/>
      <c r="J471" s="24"/>
      <c r="K471" s="24"/>
      <c r="L471" s="58">
        <f>IF(K471&gt;=0,K471,0)</f>
        <v>0</v>
      </c>
      <c r="M471" s="58">
        <f>IF(K471&lt;=0,K471,0)</f>
        <v>0</v>
      </c>
      <c r="N471" s="58">
        <f>L471+-M471</f>
        <v>0</v>
      </c>
      <c r="O471" s="19"/>
      <c r="P471" s="19">
        <f t="shared" si="19"/>
        <v>0</v>
      </c>
      <c r="Q471" s="19">
        <f t="shared" si="18"/>
        <v>0</v>
      </c>
    </row>
    <row r="472" spans="2:17" x14ac:dyDescent="0.2">
      <c r="B472" s="21"/>
      <c r="C472" s="22"/>
      <c r="D472" s="23"/>
      <c r="E472" s="24"/>
      <c r="F472" s="24"/>
      <c r="G472" s="24"/>
      <c r="H472" s="24"/>
      <c r="I472" s="24"/>
      <c r="J472" s="24"/>
      <c r="K472" s="24"/>
      <c r="L472" s="58">
        <f>IF(K472&gt;=0,K472,0)</f>
        <v>0</v>
      </c>
      <c r="M472" s="58">
        <f>IF(K472&lt;=0,K472,0)</f>
        <v>0</v>
      </c>
      <c r="N472" s="58">
        <f>L472+-M472</f>
        <v>0</v>
      </c>
      <c r="O472" s="19"/>
      <c r="P472" s="19">
        <f t="shared" si="19"/>
        <v>0</v>
      </c>
      <c r="Q472" s="19">
        <f t="shared" si="18"/>
        <v>0</v>
      </c>
    </row>
    <row r="473" spans="2:17" x14ac:dyDescent="0.2">
      <c r="B473" s="21"/>
      <c r="C473" s="22"/>
      <c r="D473" s="23"/>
      <c r="E473" s="24"/>
      <c r="F473" s="24"/>
      <c r="G473" s="24"/>
      <c r="H473" s="24"/>
      <c r="I473" s="24"/>
      <c r="J473" s="24"/>
      <c r="K473" s="24"/>
      <c r="L473" s="58">
        <f>IF(K473&gt;=0,K473,0)</f>
        <v>0</v>
      </c>
      <c r="M473" s="58">
        <f>IF(K473&lt;=0,K473,0)</f>
        <v>0</v>
      </c>
      <c r="N473" s="58">
        <f>L473+-M473</f>
        <v>0</v>
      </c>
      <c r="O473" s="19"/>
      <c r="P473" s="19">
        <f t="shared" si="19"/>
        <v>0</v>
      </c>
      <c r="Q473" s="19">
        <f t="shared" si="18"/>
        <v>0</v>
      </c>
    </row>
    <row r="474" spans="2:17" x14ac:dyDescent="0.2">
      <c r="B474" s="21"/>
      <c r="C474" s="22"/>
      <c r="D474" s="23"/>
      <c r="E474" s="24"/>
      <c r="F474" s="24"/>
      <c r="G474" s="24"/>
      <c r="H474" s="24"/>
      <c r="I474" s="24"/>
      <c r="J474" s="24"/>
      <c r="K474" s="24"/>
      <c r="L474" s="58">
        <f>IF(K474&gt;=0,K474,0)</f>
        <v>0</v>
      </c>
      <c r="M474" s="58">
        <f>IF(K474&lt;=0,K474,0)</f>
        <v>0</v>
      </c>
      <c r="N474" s="58">
        <f>L474+-M474</f>
        <v>0</v>
      </c>
      <c r="O474" s="19"/>
      <c r="P474" s="19">
        <f t="shared" si="19"/>
        <v>0</v>
      </c>
      <c r="Q474" s="19">
        <f t="shared" si="18"/>
        <v>0</v>
      </c>
    </row>
    <row r="475" spans="2:17" x14ac:dyDescent="0.2">
      <c r="B475" s="21"/>
      <c r="C475" s="22"/>
      <c r="D475" s="23"/>
      <c r="E475" s="24"/>
      <c r="F475" s="24"/>
      <c r="G475" s="24"/>
      <c r="H475" s="24"/>
      <c r="I475" s="24"/>
      <c r="J475" s="24"/>
      <c r="K475" s="24"/>
      <c r="L475" s="58">
        <f>IF(K475&gt;=0,K475,0)</f>
        <v>0</v>
      </c>
      <c r="M475" s="58">
        <f>IF(K475&lt;=0,K475,0)</f>
        <v>0</v>
      </c>
      <c r="N475" s="58">
        <f>L475+-M475</f>
        <v>0</v>
      </c>
      <c r="O475" s="19"/>
      <c r="P475" s="19">
        <f t="shared" si="19"/>
        <v>0</v>
      </c>
      <c r="Q475" s="19">
        <f t="shared" si="18"/>
        <v>0</v>
      </c>
    </row>
    <row r="476" spans="2:17" x14ac:dyDescent="0.2">
      <c r="B476" s="21"/>
      <c r="C476" s="22"/>
      <c r="D476" s="23"/>
      <c r="E476" s="24"/>
      <c r="F476" s="24"/>
      <c r="G476" s="24"/>
      <c r="H476" s="24"/>
      <c r="I476" s="24"/>
      <c r="J476" s="24"/>
      <c r="K476" s="24"/>
      <c r="L476" s="58">
        <f>IF(K476&gt;=0,K476,0)</f>
        <v>0</v>
      </c>
      <c r="M476" s="58">
        <f>IF(K476&lt;=0,K476,0)</f>
        <v>0</v>
      </c>
      <c r="N476" s="58">
        <f>L476+-M476</f>
        <v>0</v>
      </c>
      <c r="O476" s="19"/>
      <c r="P476" s="19">
        <f t="shared" si="19"/>
        <v>0</v>
      </c>
      <c r="Q476" s="19">
        <f t="shared" si="18"/>
        <v>0</v>
      </c>
    </row>
    <row r="477" spans="2:17" x14ac:dyDescent="0.2">
      <c r="B477" s="21"/>
      <c r="C477" s="22"/>
      <c r="D477" s="23"/>
      <c r="E477" s="24"/>
      <c r="F477" s="24"/>
      <c r="G477" s="24"/>
      <c r="H477" s="24"/>
      <c r="I477" s="24"/>
      <c r="J477" s="24"/>
      <c r="K477" s="24"/>
      <c r="L477" s="58">
        <f>IF(K477&gt;=0,K477,0)</f>
        <v>0</v>
      </c>
      <c r="M477" s="58">
        <f>IF(K477&lt;=0,K477,0)</f>
        <v>0</v>
      </c>
      <c r="N477" s="58">
        <f>L477+-M477</f>
        <v>0</v>
      </c>
      <c r="O477" s="19"/>
      <c r="P477" s="19">
        <f t="shared" si="19"/>
        <v>0</v>
      </c>
      <c r="Q477" s="19">
        <f t="shared" si="18"/>
        <v>0</v>
      </c>
    </row>
    <row r="478" spans="2:17" x14ac:dyDescent="0.2">
      <c r="B478" s="21"/>
      <c r="C478" s="22"/>
      <c r="D478" s="23"/>
      <c r="E478" s="24"/>
      <c r="F478" s="24"/>
      <c r="G478" s="24"/>
      <c r="H478" s="24"/>
      <c r="I478" s="24"/>
      <c r="J478" s="24"/>
      <c r="K478" s="24"/>
      <c r="L478" s="58">
        <f>IF(K478&gt;=0,K478,0)</f>
        <v>0</v>
      </c>
      <c r="M478" s="58">
        <f>IF(K478&lt;=0,K478,0)</f>
        <v>0</v>
      </c>
      <c r="N478" s="58">
        <f>L478+-M478</f>
        <v>0</v>
      </c>
      <c r="O478" s="19"/>
      <c r="P478" s="19">
        <f t="shared" si="19"/>
        <v>0</v>
      </c>
      <c r="Q478" s="19">
        <f t="shared" si="18"/>
        <v>0</v>
      </c>
    </row>
    <row r="479" spans="2:17" x14ac:dyDescent="0.2">
      <c r="B479" s="21"/>
      <c r="C479" s="22"/>
      <c r="D479" s="23"/>
      <c r="E479" s="24"/>
      <c r="F479" s="24"/>
      <c r="G479" s="24"/>
      <c r="H479" s="24"/>
      <c r="I479" s="24"/>
      <c r="J479" s="24"/>
      <c r="K479" s="24"/>
      <c r="L479" s="58">
        <f>IF(K479&gt;=0,K479,0)</f>
        <v>0</v>
      </c>
      <c r="M479" s="58">
        <f>IF(K479&lt;=0,K479,0)</f>
        <v>0</v>
      </c>
      <c r="N479" s="58">
        <f>L479+-M479</f>
        <v>0</v>
      </c>
      <c r="O479" s="19"/>
      <c r="P479" s="19">
        <f t="shared" si="19"/>
        <v>0</v>
      </c>
      <c r="Q479" s="19">
        <f t="shared" si="18"/>
        <v>0</v>
      </c>
    </row>
    <row r="480" spans="2:17" x14ac:dyDescent="0.2">
      <c r="B480" s="21"/>
      <c r="C480" s="22"/>
      <c r="D480" s="23"/>
      <c r="E480" s="24"/>
      <c r="F480" s="24"/>
      <c r="G480" s="24"/>
      <c r="H480" s="24"/>
      <c r="I480" s="24"/>
      <c r="J480" s="24"/>
      <c r="K480" s="24"/>
      <c r="L480" s="58">
        <f>IF(K480&gt;=0,K480,0)</f>
        <v>0</v>
      </c>
      <c r="M480" s="58">
        <f>IF(K480&lt;=0,K480,0)</f>
        <v>0</v>
      </c>
      <c r="N480" s="58">
        <f>L480+-M480</f>
        <v>0</v>
      </c>
      <c r="O480" s="19"/>
      <c r="P480" s="19">
        <f t="shared" si="19"/>
        <v>0</v>
      </c>
      <c r="Q480" s="19">
        <f t="shared" si="18"/>
        <v>0</v>
      </c>
    </row>
    <row r="481" spans="2:17" x14ac:dyDescent="0.2">
      <c r="B481" s="21"/>
      <c r="C481" s="22"/>
      <c r="D481" s="23"/>
      <c r="E481" s="24"/>
      <c r="F481" s="24"/>
      <c r="G481" s="24"/>
      <c r="H481" s="24"/>
      <c r="I481" s="24"/>
      <c r="J481" s="24"/>
      <c r="K481" s="24"/>
      <c r="L481" s="58">
        <f>IF(K481&gt;=0,K481,0)</f>
        <v>0</v>
      </c>
      <c r="M481" s="58">
        <f>IF(K481&lt;=0,K481,0)</f>
        <v>0</v>
      </c>
      <c r="N481" s="58">
        <f>L481+-M481</f>
        <v>0</v>
      </c>
      <c r="O481" s="19"/>
      <c r="P481" s="19">
        <f t="shared" si="19"/>
        <v>0</v>
      </c>
      <c r="Q481" s="19">
        <f t="shared" si="18"/>
        <v>0</v>
      </c>
    </row>
    <row r="482" spans="2:17" x14ac:dyDescent="0.2">
      <c r="B482" s="21"/>
      <c r="C482" s="22"/>
      <c r="D482" s="23"/>
      <c r="E482" s="24"/>
      <c r="F482" s="24"/>
      <c r="G482" s="24"/>
      <c r="H482" s="24"/>
      <c r="I482" s="24"/>
      <c r="J482" s="24"/>
      <c r="K482" s="24"/>
      <c r="L482" s="58">
        <f>IF(K482&gt;=0,K482,0)</f>
        <v>0</v>
      </c>
      <c r="M482" s="58">
        <f>IF(K482&lt;=0,K482,0)</f>
        <v>0</v>
      </c>
      <c r="N482" s="58">
        <f>L482+-M482</f>
        <v>0</v>
      </c>
      <c r="O482" s="19"/>
      <c r="P482" s="19">
        <f t="shared" si="19"/>
        <v>0</v>
      </c>
      <c r="Q482" s="19">
        <f t="shared" si="18"/>
        <v>0</v>
      </c>
    </row>
    <row r="483" spans="2:17" x14ac:dyDescent="0.2">
      <c r="B483" s="21"/>
      <c r="C483" s="22"/>
      <c r="D483" s="23"/>
      <c r="E483" s="24"/>
      <c r="F483" s="24"/>
      <c r="G483" s="24"/>
      <c r="H483" s="24"/>
      <c r="I483" s="24"/>
      <c r="J483" s="24"/>
      <c r="K483" s="24"/>
      <c r="L483" s="58">
        <f>IF(K483&gt;=0,K483,0)</f>
        <v>0</v>
      </c>
      <c r="M483" s="58">
        <f>IF(K483&lt;=0,K483,0)</f>
        <v>0</v>
      </c>
      <c r="N483" s="58">
        <f>L483+-M483</f>
        <v>0</v>
      </c>
      <c r="O483" s="19"/>
      <c r="P483" s="19">
        <f t="shared" si="19"/>
        <v>0</v>
      </c>
      <c r="Q483" s="19">
        <f t="shared" si="18"/>
        <v>0</v>
      </c>
    </row>
    <row r="484" spans="2:17" x14ac:dyDescent="0.2">
      <c r="B484" s="21"/>
      <c r="C484" s="22"/>
      <c r="D484" s="23"/>
      <c r="E484" s="24"/>
      <c r="F484" s="24"/>
      <c r="G484" s="24"/>
      <c r="H484" s="24"/>
      <c r="I484" s="24"/>
      <c r="J484" s="24"/>
      <c r="K484" s="24"/>
      <c r="L484" s="58">
        <f>IF(K484&gt;=0,K484,0)</f>
        <v>0</v>
      </c>
      <c r="M484" s="58">
        <f>IF(K484&lt;=0,K484,0)</f>
        <v>0</v>
      </c>
      <c r="N484" s="58">
        <f>L484+-M484</f>
        <v>0</v>
      </c>
      <c r="O484" s="19"/>
      <c r="P484" s="19">
        <f t="shared" si="19"/>
        <v>0</v>
      </c>
      <c r="Q484" s="19">
        <f t="shared" si="18"/>
        <v>0</v>
      </c>
    </row>
    <row r="485" spans="2:17" x14ac:dyDescent="0.2">
      <c r="B485" s="21"/>
      <c r="C485" s="22"/>
      <c r="D485" s="23"/>
      <c r="E485" s="24"/>
      <c r="F485" s="24"/>
      <c r="G485" s="24"/>
      <c r="H485" s="24"/>
      <c r="I485" s="24"/>
      <c r="J485" s="24"/>
      <c r="K485" s="24"/>
      <c r="L485" s="58">
        <f>IF(K485&gt;=0,K485,0)</f>
        <v>0</v>
      </c>
      <c r="M485" s="58">
        <f>IF(K485&lt;=0,K485,0)</f>
        <v>0</v>
      </c>
      <c r="N485" s="58">
        <f>L485+-M485</f>
        <v>0</v>
      </c>
      <c r="O485" s="19"/>
      <c r="P485" s="19">
        <f t="shared" si="19"/>
        <v>0</v>
      </c>
      <c r="Q485" s="19">
        <f t="shared" si="18"/>
        <v>0</v>
      </c>
    </row>
    <row r="486" spans="2:17" x14ac:dyDescent="0.2">
      <c r="B486" s="21"/>
      <c r="C486" s="22"/>
      <c r="D486" s="23"/>
      <c r="E486" s="24"/>
      <c r="F486" s="24"/>
      <c r="G486" s="24"/>
      <c r="H486" s="24"/>
      <c r="I486" s="24"/>
      <c r="J486" s="24"/>
      <c r="K486" s="24"/>
      <c r="L486" s="58">
        <f>IF(K486&gt;=0,K486,0)</f>
        <v>0</v>
      </c>
      <c r="M486" s="58">
        <f>IF(K486&lt;=0,K486,0)</f>
        <v>0</v>
      </c>
      <c r="N486" s="58">
        <f>L486+-M486</f>
        <v>0</v>
      </c>
      <c r="O486" s="19"/>
      <c r="P486" s="19">
        <f t="shared" si="19"/>
        <v>0</v>
      </c>
      <c r="Q486" s="19">
        <f t="shared" si="18"/>
        <v>0</v>
      </c>
    </row>
    <row r="487" spans="2:17" x14ac:dyDescent="0.2">
      <c r="B487" s="21"/>
      <c r="C487" s="22"/>
      <c r="D487" s="23"/>
      <c r="E487" s="24"/>
      <c r="F487" s="24"/>
      <c r="G487" s="24"/>
      <c r="H487" s="24"/>
      <c r="I487" s="24"/>
      <c r="J487" s="24"/>
      <c r="K487" s="24"/>
      <c r="L487" s="58">
        <f>IF(K487&gt;=0,K487,0)</f>
        <v>0</v>
      </c>
      <c r="M487" s="58">
        <f>IF(K487&lt;=0,K487,0)</f>
        <v>0</v>
      </c>
      <c r="N487" s="58">
        <f>L487+-M487</f>
        <v>0</v>
      </c>
      <c r="O487" s="19"/>
      <c r="P487" s="19">
        <f t="shared" si="19"/>
        <v>0</v>
      </c>
      <c r="Q487" s="19">
        <f t="shared" si="18"/>
        <v>0</v>
      </c>
    </row>
    <row r="488" spans="2:17" x14ac:dyDescent="0.2">
      <c r="B488" s="21"/>
      <c r="C488" s="22"/>
      <c r="D488" s="23"/>
      <c r="E488" s="24"/>
      <c r="F488" s="24"/>
      <c r="G488" s="24"/>
      <c r="H488" s="24"/>
      <c r="I488" s="24"/>
      <c r="J488" s="24"/>
      <c r="K488" s="24"/>
      <c r="L488" s="58">
        <f>IF(K488&gt;=0,K488,0)</f>
        <v>0</v>
      </c>
      <c r="M488" s="58">
        <f>IF(K488&lt;=0,K488,0)</f>
        <v>0</v>
      </c>
      <c r="N488" s="58">
        <f>L488+-M488</f>
        <v>0</v>
      </c>
      <c r="O488" s="19"/>
      <c r="P488" s="19">
        <f t="shared" si="19"/>
        <v>0</v>
      </c>
      <c r="Q488" s="19">
        <f t="shared" si="18"/>
        <v>0</v>
      </c>
    </row>
    <row r="489" spans="2:17" x14ac:dyDescent="0.2">
      <c r="B489" s="21"/>
      <c r="C489" s="22"/>
      <c r="D489" s="23"/>
      <c r="E489" s="24"/>
      <c r="F489" s="24"/>
      <c r="G489" s="24"/>
      <c r="H489" s="24"/>
      <c r="I489" s="24"/>
      <c r="J489" s="24"/>
      <c r="K489" s="24"/>
      <c r="L489" s="58">
        <f>IF(K489&gt;=0,K489,0)</f>
        <v>0</v>
      </c>
      <c r="M489" s="58">
        <f>IF(K489&lt;=0,K489,0)</f>
        <v>0</v>
      </c>
      <c r="N489" s="58">
        <f>L489+-M489</f>
        <v>0</v>
      </c>
      <c r="O489" s="19"/>
      <c r="P489" s="19">
        <f t="shared" si="19"/>
        <v>0</v>
      </c>
      <c r="Q489" s="19">
        <f t="shared" si="18"/>
        <v>0</v>
      </c>
    </row>
    <row r="490" spans="2:17" x14ac:dyDescent="0.2">
      <c r="B490" s="21"/>
      <c r="C490" s="22"/>
      <c r="D490" s="23"/>
      <c r="E490" s="24"/>
      <c r="F490" s="24"/>
      <c r="G490" s="24"/>
      <c r="H490" s="24"/>
      <c r="I490" s="24"/>
      <c r="J490" s="24"/>
      <c r="K490" s="24"/>
      <c r="L490" s="58">
        <f>IF(K490&gt;=0,K490,0)</f>
        <v>0</v>
      </c>
      <c r="M490" s="58">
        <f>IF(K490&lt;=0,K490,0)</f>
        <v>0</v>
      </c>
      <c r="N490" s="58">
        <f>L490+-M490</f>
        <v>0</v>
      </c>
      <c r="O490" s="19"/>
      <c r="P490" s="19">
        <f t="shared" si="19"/>
        <v>0</v>
      </c>
      <c r="Q490" s="19">
        <f t="shared" si="18"/>
        <v>0</v>
      </c>
    </row>
    <row r="491" spans="2:17" x14ac:dyDescent="0.2">
      <c r="B491" s="21"/>
      <c r="C491" s="22"/>
      <c r="D491" s="23"/>
      <c r="E491" s="24"/>
      <c r="F491" s="24"/>
      <c r="G491" s="24"/>
      <c r="H491" s="24"/>
      <c r="I491" s="24"/>
      <c r="J491" s="24"/>
      <c r="K491" s="24"/>
      <c r="L491" s="58">
        <f>IF(K491&gt;=0,K491,0)</f>
        <v>0</v>
      </c>
      <c r="M491" s="58">
        <f>IF(K491&lt;=0,K491,0)</f>
        <v>0</v>
      </c>
      <c r="N491" s="58">
        <f>L491+-M491</f>
        <v>0</v>
      </c>
      <c r="O491" s="19"/>
      <c r="P491" s="19">
        <f t="shared" si="19"/>
        <v>0</v>
      </c>
      <c r="Q491" s="19">
        <f t="shared" si="18"/>
        <v>0</v>
      </c>
    </row>
    <row r="492" spans="2:17" x14ac:dyDescent="0.2">
      <c r="B492" s="21"/>
      <c r="C492" s="22"/>
      <c r="D492" s="23"/>
      <c r="E492" s="24"/>
      <c r="F492" s="24"/>
      <c r="G492" s="24"/>
      <c r="H492" s="24"/>
      <c r="I492" s="24"/>
      <c r="J492" s="24"/>
      <c r="K492" s="24"/>
      <c r="L492" s="58">
        <f>IF(K492&gt;=0,K492,0)</f>
        <v>0</v>
      </c>
      <c r="M492" s="58">
        <f>IF(K492&lt;=0,K492,0)</f>
        <v>0</v>
      </c>
      <c r="N492" s="58">
        <f>L492+-M492</f>
        <v>0</v>
      </c>
      <c r="O492" s="19"/>
      <c r="P492" s="19">
        <f t="shared" si="19"/>
        <v>0</v>
      </c>
      <c r="Q492" s="19">
        <f t="shared" si="18"/>
        <v>0</v>
      </c>
    </row>
    <row r="493" spans="2:17" x14ac:dyDescent="0.2">
      <c r="B493" s="21"/>
      <c r="C493" s="22"/>
      <c r="D493" s="23"/>
      <c r="E493" s="24"/>
      <c r="F493" s="24"/>
      <c r="G493" s="24"/>
      <c r="H493" s="24"/>
      <c r="I493" s="24"/>
      <c r="J493" s="24"/>
      <c r="K493" s="24"/>
      <c r="L493" s="58">
        <f>IF(K493&gt;=0,K493,0)</f>
        <v>0</v>
      </c>
      <c r="M493" s="58">
        <f>IF(K493&lt;=0,K493,0)</f>
        <v>0</v>
      </c>
      <c r="N493" s="58">
        <f>L493+-M493</f>
        <v>0</v>
      </c>
      <c r="O493" s="19"/>
      <c r="P493" s="19">
        <f t="shared" si="19"/>
        <v>0</v>
      </c>
      <c r="Q493" s="19">
        <f t="shared" si="18"/>
        <v>0</v>
      </c>
    </row>
    <row r="494" spans="2:17" x14ac:dyDescent="0.2">
      <c r="B494" s="21"/>
      <c r="C494" s="22"/>
      <c r="D494" s="23"/>
      <c r="E494" s="24"/>
      <c r="F494" s="24"/>
      <c r="G494" s="24"/>
      <c r="H494" s="24"/>
      <c r="I494" s="24"/>
      <c r="J494" s="24"/>
      <c r="K494" s="24"/>
      <c r="L494" s="58">
        <f>IF(K494&gt;=0,K494,0)</f>
        <v>0</v>
      </c>
      <c r="M494" s="58">
        <f>IF(K494&lt;=0,K494,0)</f>
        <v>0</v>
      </c>
      <c r="N494" s="58">
        <f>L494+-M494</f>
        <v>0</v>
      </c>
      <c r="O494" s="19"/>
      <c r="P494" s="19">
        <f t="shared" si="19"/>
        <v>0</v>
      </c>
      <c r="Q494" s="19">
        <f t="shared" si="18"/>
        <v>0</v>
      </c>
    </row>
    <row r="495" spans="2:17" x14ac:dyDescent="0.2">
      <c r="B495" s="21"/>
      <c r="C495" s="22"/>
      <c r="D495" s="23"/>
      <c r="E495" s="24"/>
      <c r="F495" s="24"/>
      <c r="G495" s="24"/>
      <c r="H495" s="24"/>
      <c r="I495" s="24"/>
      <c r="J495" s="24"/>
      <c r="K495" s="24"/>
      <c r="L495" s="58">
        <f>IF(K495&gt;=0,K495,0)</f>
        <v>0</v>
      </c>
      <c r="M495" s="58">
        <f>IF(K495&lt;=0,K495,0)</f>
        <v>0</v>
      </c>
      <c r="N495" s="58">
        <f>L495+-M495</f>
        <v>0</v>
      </c>
      <c r="O495" s="19"/>
      <c r="P495" s="19">
        <f t="shared" si="19"/>
        <v>0</v>
      </c>
      <c r="Q495" s="19">
        <f t="shared" si="18"/>
        <v>0</v>
      </c>
    </row>
    <row r="496" spans="2:17" x14ac:dyDescent="0.2">
      <c r="B496" s="21"/>
      <c r="C496" s="22"/>
      <c r="D496" s="23"/>
      <c r="E496" s="24"/>
      <c r="F496" s="24"/>
      <c r="G496" s="24"/>
      <c r="H496" s="24"/>
      <c r="I496" s="24"/>
      <c r="J496" s="24"/>
      <c r="K496" s="24"/>
      <c r="L496" s="58">
        <f>IF(K496&gt;=0,K496,0)</f>
        <v>0</v>
      </c>
      <c r="M496" s="58">
        <f>IF(K496&lt;=0,K496,0)</f>
        <v>0</v>
      </c>
      <c r="N496" s="58">
        <f>L496+-M496</f>
        <v>0</v>
      </c>
      <c r="O496" s="19"/>
      <c r="P496" s="19">
        <f t="shared" si="19"/>
        <v>0</v>
      </c>
      <c r="Q496" s="19">
        <f t="shared" si="18"/>
        <v>0</v>
      </c>
    </row>
    <row r="497" spans="2:17" x14ac:dyDescent="0.2">
      <c r="B497" s="21"/>
      <c r="C497" s="22"/>
      <c r="D497" s="23"/>
      <c r="E497" s="24"/>
      <c r="F497" s="24"/>
      <c r="G497" s="24"/>
      <c r="H497" s="24"/>
      <c r="I497" s="24"/>
      <c r="J497" s="24"/>
      <c r="K497" s="24"/>
      <c r="L497" s="58">
        <f>IF(K497&gt;=0,K497,0)</f>
        <v>0</v>
      </c>
      <c r="M497" s="58">
        <f>IF(K497&lt;=0,K497,0)</f>
        <v>0</v>
      </c>
      <c r="N497" s="58">
        <f>L497+-M497</f>
        <v>0</v>
      </c>
      <c r="O497" s="19"/>
      <c r="P497" s="19">
        <f t="shared" si="19"/>
        <v>0</v>
      </c>
      <c r="Q497" s="19">
        <f t="shared" si="18"/>
        <v>0</v>
      </c>
    </row>
    <row r="498" spans="2:17" x14ac:dyDescent="0.2">
      <c r="B498" s="21"/>
      <c r="C498" s="22"/>
      <c r="D498" s="23"/>
      <c r="E498" s="24"/>
      <c r="F498" s="24"/>
      <c r="G498" s="24"/>
      <c r="H498" s="24"/>
      <c r="I498" s="24"/>
      <c r="J498" s="24"/>
      <c r="K498" s="24"/>
      <c r="L498" s="58">
        <f>IF(K498&gt;=0,K498,0)</f>
        <v>0</v>
      </c>
      <c r="M498" s="58">
        <f>IF(K498&lt;=0,K498,0)</f>
        <v>0</v>
      </c>
      <c r="N498" s="58">
        <f>L498+-M498</f>
        <v>0</v>
      </c>
      <c r="O498" s="19"/>
      <c r="P498" s="19">
        <f t="shared" si="19"/>
        <v>0</v>
      </c>
      <c r="Q498" s="19">
        <f t="shared" si="18"/>
        <v>0</v>
      </c>
    </row>
    <row r="499" spans="2:17" x14ac:dyDescent="0.2">
      <c r="B499" s="21"/>
      <c r="C499" s="22"/>
      <c r="D499" s="23"/>
      <c r="E499" s="24"/>
      <c r="F499" s="24"/>
      <c r="G499" s="24"/>
      <c r="H499" s="24"/>
      <c r="I499" s="24"/>
      <c r="J499" s="24"/>
      <c r="K499" s="24"/>
      <c r="L499" s="58">
        <f>IF(K499&gt;=0,K499,0)</f>
        <v>0</v>
      </c>
      <c r="M499" s="58">
        <f>IF(K499&lt;=0,K499,0)</f>
        <v>0</v>
      </c>
      <c r="N499" s="58">
        <f>L499+-M499</f>
        <v>0</v>
      </c>
      <c r="O499" s="19"/>
      <c r="P499" s="19">
        <f t="shared" si="19"/>
        <v>0</v>
      </c>
      <c r="Q499" s="19">
        <f t="shared" si="18"/>
        <v>0</v>
      </c>
    </row>
    <row r="500" spans="2:17" x14ac:dyDescent="0.2">
      <c r="B500" s="21"/>
      <c r="C500" s="22"/>
      <c r="D500" s="23"/>
      <c r="E500" s="24"/>
      <c r="F500" s="24"/>
      <c r="G500" s="24"/>
      <c r="H500" s="24"/>
      <c r="I500" s="24"/>
      <c r="J500" s="24"/>
      <c r="K500" s="24"/>
      <c r="L500" s="58">
        <f>IF(K500&gt;=0,K500,0)</f>
        <v>0</v>
      </c>
      <c r="M500" s="58">
        <f>IF(K500&lt;=0,K500,0)</f>
        <v>0</v>
      </c>
      <c r="N500" s="58">
        <f>L500+-M500</f>
        <v>0</v>
      </c>
      <c r="O500" s="19"/>
      <c r="P500" s="19">
        <f t="shared" si="19"/>
        <v>0</v>
      </c>
      <c r="Q500" s="19">
        <f t="shared" si="18"/>
        <v>0</v>
      </c>
    </row>
    <row r="501" spans="2:17" x14ac:dyDescent="0.2">
      <c r="B501" s="21"/>
      <c r="C501" s="22"/>
      <c r="D501" s="23"/>
      <c r="E501" s="24"/>
      <c r="F501" s="24"/>
      <c r="G501" s="24"/>
      <c r="H501" s="24"/>
      <c r="I501" s="24"/>
      <c r="J501" s="24"/>
      <c r="K501" s="24"/>
      <c r="L501" s="58">
        <f>IF(K501&gt;=0,K501,0)</f>
        <v>0</v>
      </c>
      <c r="M501" s="58">
        <f>IF(K501&lt;=0,K501,0)</f>
        <v>0</v>
      </c>
      <c r="N501" s="58">
        <f>L501+-M501</f>
        <v>0</v>
      </c>
      <c r="O501" s="19"/>
      <c r="P501" s="19">
        <f t="shared" si="19"/>
        <v>0</v>
      </c>
      <c r="Q501" s="19">
        <f t="shared" si="18"/>
        <v>0</v>
      </c>
    </row>
    <row r="502" spans="2:17" x14ac:dyDescent="0.2">
      <c r="B502" s="21"/>
      <c r="C502" s="22"/>
      <c r="D502" s="23"/>
      <c r="E502" s="24"/>
      <c r="F502" s="24"/>
      <c r="G502" s="24"/>
      <c r="H502" s="24"/>
      <c r="I502" s="24"/>
      <c r="J502" s="24"/>
      <c r="K502" s="24"/>
      <c r="L502" s="58">
        <f>IF(K502&gt;=0,K502,0)</f>
        <v>0</v>
      </c>
      <c r="M502" s="58">
        <f>IF(K502&lt;=0,K502,0)</f>
        <v>0</v>
      </c>
      <c r="N502" s="58">
        <f>L502+-M502</f>
        <v>0</v>
      </c>
      <c r="O502" s="19"/>
      <c r="P502" s="19">
        <f t="shared" si="19"/>
        <v>0</v>
      </c>
      <c r="Q502" s="19">
        <f t="shared" si="18"/>
        <v>0</v>
      </c>
    </row>
    <row r="503" spans="2:17" x14ac:dyDescent="0.2">
      <c r="B503" s="21"/>
      <c r="C503" s="22"/>
      <c r="D503" s="23"/>
      <c r="E503" s="24"/>
      <c r="F503" s="24"/>
      <c r="G503" s="24"/>
      <c r="H503" s="24"/>
      <c r="I503" s="24"/>
      <c r="J503" s="24"/>
      <c r="K503" s="24"/>
      <c r="L503" s="58">
        <f>IF(K503&gt;=0,K503,0)</f>
        <v>0</v>
      </c>
      <c r="M503" s="58">
        <f>IF(K503&lt;=0,K503,0)</f>
        <v>0</v>
      </c>
      <c r="N503" s="58">
        <f>L503+-M503</f>
        <v>0</v>
      </c>
      <c r="O503" s="19"/>
      <c r="P503" s="19">
        <f t="shared" si="19"/>
        <v>0</v>
      </c>
      <c r="Q503" s="19">
        <f t="shared" si="18"/>
        <v>0</v>
      </c>
    </row>
    <row r="504" spans="2:17" x14ac:dyDescent="0.2">
      <c r="B504" s="21"/>
      <c r="C504" s="22"/>
      <c r="D504" s="23"/>
      <c r="E504" s="24"/>
      <c r="F504" s="24"/>
      <c r="G504" s="24"/>
      <c r="H504" s="24"/>
      <c r="I504" s="24"/>
      <c r="J504" s="24"/>
      <c r="K504" s="24"/>
      <c r="L504" s="58">
        <f>IF(K504&gt;=0,K504,0)</f>
        <v>0</v>
      </c>
      <c r="M504" s="58">
        <f>IF(K504&lt;=0,K504,0)</f>
        <v>0</v>
      </c>
      <c r="N504" s="58">
        <f>L504+-M504</f>
        <v>0</v>
      </c>
      <c r="O504" s="19"/>
      <c r="P504" s="19">
        <f t="shared" si="19"/>
        <v>0</v>
      </c>
      <c r="Q504" s="19">
        <f t="shared" si="18"/>
        <v>0</v>
      </c>
    </row>
    <row r="505" spans="2:17" x14ac:dyDescent="0.2">
      <c r="B505" s="21"/>
      <c r="C505" s="22"/>
      <c r="D505" s="23"/>
      <c r="E505" s="24"/>
      <c r="F505" s="24"/>
      <c r="G505" s="24"/>
      <c r="H505" s="24"/>
      <c r="I505" s="24"/>
      <c r="J505" s="24"/>
      <c r="K505" s="24"/>
      <c r="L505" s="58">
        <f>IF(K505&gt;=0,K505,0)</f>
        <v>0</v>
      </c>
      <c r="M505" s="58">
        <f>IF(K505&lt;=0,K505,0)</f>
        <v>0</v>
      </c>
      <c r="N505" s="58">
        <f>L505+-M505</f>
        <v>0</v>
      </c>
      <c r="O505" s="19"/>
      <c r="P505" s="19">
        <f t="shared" si="19"/>
        <v>0</v>
      </c>
      <c r="Q505" s="19">
        <f t="shared" si="18"/>
        <v>0</v>
      </c>
    </row>
    <row r="506" spans="2:17" x14ac:dyDescent="0.2">
      <c r="B506" s="21"/>
      <c r="C506" s="22"/>
      <c r="D506" s="23"/>
      <c r="E506" s="24"/>
      <c r="F506" s="24"/>
      <c r="G506" s="24"/>
      <c r="H506" s="24"/>
      <c r="I506" s="24"/>
      <c r="J506" s="24"/>
      <c r="K506" s="24"/>
      <c r="L506" s="58">
        <f>IF(K506&gt;=0,K506,0)</f>
        <v>0</v>
      </c>
      <c r="M506" s="58">
        <f>IF(K506&lt;=0,K506,0)</f>
        <v>0</v>
      </c>
      <c r="N506" s="58">
        <f>L506+-M506</f>
        <v>0</v>
      </c>
      <c r="O506" s="19"/>
      <c r="P506" s="19">
        <f t="shared" si="19"/>
        <v>0</v>
      </c>
      <c r="Q506" s="19">
        <f t="shared" si="18"/>
        <v>0</v>
      </c>
    </row>
    <row r="507" spans="2:17" x14ac:dyDescent="0.2">
      <c r="B507" s="21"/>
      <c r="C507" s="22"/>
      <c r="D507" s="23"/>
      <c r="E507" s="24"/>
      <c r="F507" s="24"/>
      <c r="G507" s="24"/>
      <c r="H507" s="24"/>
      <c r="I507" s="24"/>
      <c r="J507" s="24"/>
      <c r="K507" s="24"/>
      <c r="L507" s="58">
        <f>IF(K507&gt;=0,K507,0)</f>
        <v>0</v>
      </c>
      <c r="M507" s="58">
        <f>IF(K507&lt;=0,K507,0)</f>
        <v>0</v>
      </c>
      <c r="N507" s="58">
        <f>L507+-M507</f>
        <v>0</v>
      </c>
      <c r="O507" s="19"/>
      <c r="P507" s="19">
        <f t="shared" si="19"/>
        <v>0</v>
      </c>
      <c r="Q507" s="19">
        <f t="shared" si="18"/>
        <v>0</v>
      </c>
    </row>
    <row r="508" spans="2:17" x14ac:dyDescent="0.2">
      <c r="B508" s="21"/>
      <c r="C508" s="22"/>
      <c r="D508" s="23"/>
      <c r="E508" s="24"/>
      <c r="F508" s="24"/>
      <c r="G508" s="24"/>
      <c r="H508" s="24"/>
      <c r="I508" s="24"/>
      <c r="J508" s="24"/>
      <c r="K508" s="24"/>
      <c r="L508" s="58">
        <f>IF(K508&gt;=0,K508,0)</f>
        <v>0</v>
      </c>
      <c r="M508" s="58">
        <f>IF(K508&lt;=0,K508,0)</f>
        <v>0</v>
      </c>
      <c r="N508" s="58">
        <f>L508+-M508</f>
        <v>0</v>
      </c>
      <c r="O508" s="19"/>
      <c r="P508" s="19">
        <f t="shared" si="19"/>
        <v>0</v>
      </c>
      <c r="Q508" s="19">
        <f t="shared" ref="Q508:Q571" si="20">P508+Q507</f>
        <v>0</v>
      </c>
    </row>
    <row r="509" spans="2:17" x14ac:dyDescent="0.2">
      <c r="B509" s="21"/>
      <c r="C509" s="22"/>
      <c r="D509" s="23"/>
      <c r="E509" s="24"/>
      <c r="F509" s="24"/>
      <c r="G509" s="24"/>
      <c r="H509" s="24"/>
      <c r="I509" s="24"/>
      <c r="J509" s="24"/>
      <c r="K509" s="24"/>
      <c r="L509" s="58">
        <f>IF(K509&gt;=0,K509,0)</f>
        <v>0</v>
      </c>
      <c r="M509" s="58">
        <f>IF(K509&lt;=0,K509,0)</f>
        <v>0</v>
      </c>
      <c r="N509" s="58">
        <f>L509+-M509</f>
        <v>0</v>
      </c>
      <c r="O509" s="19"/>
      <c r="P509" s="19">
        <f t="shared" si="19"/>
        <v>0</v>
      </c>
      <c r="Q509" s="19">
        <f t="shared" si="20"/>
        <v>0</v>
      </c>
    </row>
    <row r="510" spans="2:17" x14ac:dyDescent="0.2">
      <c r="B510" s="21"/>
      <c r="C510" s="22"/>
      <c r="D510" s="23"/>
      <c r="E510" s="24"/>
      <c r="F510" s="24"/>
      <c r="G510" s="24"/>
      <c r="H510" s="24"/>
      <c r="I510" s="24"/>
      <c r="J510" s="24"/>
      <c r="K510" s="24"/>
      <c r="L510" s="58">
        <f>IF(K510&gt;=0,K510,0)</f>
        <v>0</v>
      </c>
      <c r="M510" s="58">
        <f>IF(K510&lt;=0,K510,0)</f>
        <v>0</v>
      </c>
      <c r="N510" s="58">
        <f>L510+-M510</f>
        <v>0</v>
      </c>
      <c r="O510" s="19"/>
      <c r="P510" s="19">
        <f t="shared" si="19"/>
        <v>0</v>
      </c>
      <c r="Q510" s="19">
        <f t="shared" si="20"/>
        <v>0</v>
      </c>
    </row>
    <row r="511" spans="2:17" x14ac:dyDescent="0.2">
      <c r="B511" s="21"/>
      <c r="C511" s="22"/>
      <c r="D511" s="23"/>
      <c r="E511" s="24"/>
      <c r="F511" s="24"/>
      <c r="G511" s="24"/>
      <c r="H511" s="24"/>
      <c r="I511" s="24"/>
      <c r="J511" s="24"/>
      <c r="K511" s="24"/>
      <c r="L511" s="58">
        <f>IF(K511&gt;=0,K511,0)</f>
        <v>0</v>
      </c>
      <c r="M511" s="58">
        <f>IF(K511&lt;=0,K511,0)</f>
        <v>0</v>
      </c>
      <c r="N511" s="58">
        <f>L511+-M511</f>
        <v>0</v>
      </c>
      <c r="O511" s="19"/>
      <c r="P511" s="19">
        <f t="shared" si="19"/>
        <v>0</v>
      </c>
      <c r="Q511" s="19">
        <f t="shared" si="20"/>
        <v>0</v>
      </c>
    </row>
    <row r="512" spans="2:17" x14ac:dyDescent="0.2">
      <c r="B512" s="21"/>
      <c r="C512" s="22"/>
      <c r="D512" s="23"/>
      <c r="E512" s="24"/>
      <c r="F512" s="24"/>
      <c r="G512" s="24"/>
      <c r="H512" s="24"/>
      <c r="I512" s="24"/>
      <c r="J512" s="24"/>
      <c r="K512" s="24"/>
      <c r="L512" s="58">
        <f>IF(K512&gt;=0,K512,0)</f>
        <v>0</v>
      </c>
      <c r="M512" s="58">
        <f>IF(K512&lt;=0,K512,0)</f>
        <v>0</v>
      </c>
      <c r="N512" s="58">
        <f>L512+-M512</f>
        <v>0</v>
      </c>
      <c r="O512" s="19"/>
      <c r="P512" s="19">
        <f t="shared" si="19"/>
        <v>0</v>
      </c>
      <c r="Q512" s="19">
        <f t="shared" si="20"/>
        <v>0</v>
      </c>
    </row>
    <row r="513" spans="2:17" x14ac:dyDescent="0.2">
      <c r="B513" s="21"/>
      <c r="C513" s="22"/>
      <c r="D513" s="23"/>
      <c r="E513" s="24"/>
      <c r="F513" s="24"/>
      <c r="G513" s="24"/>
      <c r="H513" s="24"/>
      <c r="I513" s="24"/>
      <c r="J513" s="24"/>
      <c r="K513" s="24"/>
      <c r="L513" s="58">
        <f>IF(K513&gt;=0,K513,0)</f>
        <v>0</v>
      </c>
      <c r="M513" s="58">
        <f>IF(K513&lt;=0,K513,0)</f>
        <v>0</v>
      </c>
      <c r="N513" s="58">
        <f>L513+-M513</f>
        <v>0</v>
      </c>
      <c r="O513" s="19"/>
      <c r="P513" s="19">
        <f t="shared" si="19"/>
        <v>0</v>
      </c>
      <c r="Q513" s="19">
        <f t="shared" si="20"/>
        <v>0</v>
      </c>
    </row>
    <row r="514" spans="2:17" x14ac:dyDescent="0.2">
      <c r="B514" s="21"/>
      <c r="C514" s="22"/>
      <c r="D514" s="23"/>
      <c r="E514" s="24"/>
      <c r="F514" s="24"/>
      <c r="G514" s="24"/>
      <c r="H514" s="24"/>
      <c r="I514" s="24"/>
      <c r="J514" s="24"/>
      <c r="K514" s="24"/>
      <c r="L514" s="58">
        <f>IF(K514&gt;=0,K514,0)</f>
        <v>0</v>
      </c>
      <c r="M514" s="58">
        <f>IF(K514&lt;=0,K514,0)</f>
        <v>0</v>
      </c>
      <c r="N514" s="58">
        <f>L514+-M514</f>
        <v>0</v>
      </c>
      <c r="O514" s="19"/>
      <c r="P514" s="19">
        <f t="shared" si="19"/>
        <v>0</v>
      </c>
      <c r="Q514" s="19">
        <f t="shared" si="20"/>
        <v>0</v>
      </c>
    </row>
    <row r="515" spans="2:17" x14ac:dyDescent="0.2">
      <c r="B515" s="21"/>
      <c r="C515" s="22"/>
      <c r="D515" s="23"/>
      <c r="E515" s="24"/>
      <c r="F515" s="24"/>
      <c r="G515" s="24"/>
      <c r="H515" s="24"/>
      <c r="I515" s="24"/>
      <c r="J515" s="24"/>
      <c r="K515" s="24"/>
      <c r="L515" s="58">
        <f>IF(K515&gt;=0,K515,0)</f>
        <v>0</v>
      </c>
      <c r="M515" s="58">
        <f>IF(K515&lt;=0,K515,0)</f>
        <v>0</v>
      </c>
      <c r="N515" s="58">
        <f>L515+-M515</f>
        <v>0</v>
      </c>
      <c r="O515" s="19"/>
      <c r="P515" s="19">
        <f t="shared" si="19"/>
        <v>0</v>
      </c>
      <c r="Q515" s="19">
        <f t="shared" si="20"/>
        <v>0</v>
      </c>
    </row>
    <row r="516" spans="2:17" x14ac:dyDescent="0.2">
      <c r="B516" s="21"/>
      <c r="C516" s="22"/>
      <c r="D516" s="23"/>
      <c r="E516" s="24"/>
      <c r="F516" s="24"/>
      <c r="G516" s="24"/>
      <c r="H516" s="24"/>
      <c r="I516" s="24"/>
      <c r="J516" s="24"/>
      <c r="K516" s="24"/>
      <c r="L516" s="58">
        <f>IF(K516&gt;=0,K516,0)</f>
        <v>0</v>
      </c>
      <c r="M516" s="58">
        <f>IF(K516&lt;=0,K516,0)</f>
        <v>0</v>
      </c>
      <c r="N516" s="58">
        <f>L516+-M516</f>
        <v>0</v>
      </c>
      <c r="O516" s="19"/>
      <c r="P516" s="19">
        <f t="shared" si="19"/>
        <v>0</v>
      </c>
      <c r="Q516" s="19">
        <f t="shared" si="20"/>
        <v>0</v>
      </c>
    </row>
    <row r="517" spans="2:17" x14ac:dyDescent="0.2">
      <c r="B517" s="21"/>
      <c r="C517" s="22"/>
      <c r="D517" s="23"/>
      <c r="E517" s="24"/>
      <c r="F517" s="24"/>
      <c r="G517" s="24"/>
      <c r="H517" s="24"/>
      <c r="I517" s="24"/>
      <c r="J517" s="24"/>
      <c r="K517" s="24"/>
      <c r="L517" s="58">
        <f>IF(K517&gt;=0,K517,0)</f>
        <v>0</v>
      </c>
      <c r="M517" s="58">
        <f>IF(K517&lt;=0,K517,0)</f>
        <v>0</v>
      </c>
      <c r="N517" s="58">
        <f>L517+-M517</f>
        <v>0</v>
      </c>
      <c r="O517" s="19"/>
      <c r="P517" s="19">
        <f t="shared" si="19"/>
        <v>0</v>
      </c>
      <c r="Q517" s="19">
        <f t="shared" si="20"/>
        <v>0</v>
      </c>
    </row>
    <row r="518" spans="2:17" x14ac:dyDescent="0.2">
      <c r="B518" s="21"/>
      <c r="C518" s="22"/>
      <c r="D518" s="23"/>
      <c r="E518" s="24"/>
      <c r="F518" s="24"/>
      <c r="G518" s="24"/>
      <c r="H518" s="24"/>
      <c r="I518" s="24"/>
      <c r="J518" s="24"/>
      <c r="K518" s="24"/>
      <c r="L518" s="58">
        <f>IF(K518&gt;=0,K518,0)</f>
        <v>0</v>
      </c>
      <c r="M518" s="58">
        <f>IF(K518&lt;=0,K518,0)</f>
        <v>0</v>
      </c>
      <c r="N518" s="58">
        <f>L518+-M518</f>
        <v>0</v>
      </c>
      <c r="O518" s="19"/>
      <c r="P518" s="19">
        <f t="shared" si="19"/>
        <v>0</v>
      </c>
      <c r="Q518" s="19">
        <f t="shared" si="20"/>
        <v>0</v>
      </c>
    </row>
    <row r="519" spans="2:17" x14ac:dyDescent="0.2">
      <c r="B519" s="21"/>
      <c r="C519" s="22"/>
      <c r="D519" s="23"/>
      <c r="E519" s="24"/>
      <c r="F519" s="24"/>
      <c r="G519" s="24"/>
      <c r="H519" s="24"/>
      <c r="I519" s="24"/>
      <c r="J519" s="24"/>
      <c r="K519" s="24"/>
      <c r="L519" s="58">
        <f>IF(K519&gt;=0,K519,0)</f>
        <v>0</v>
      </c>
      <c r="M519" s="58">
        <f>IF(K519&lt;=0,K519,0)</f>
        <v>0</v>
      </c>
      <c r="N519" s="58">
        <f>L519+-M519</f>
        <v>0</v>
      </c>
      <c r="O519" s="19"/>
      <c r="P519" s="19">
        <f t="shared" ref="P519:P582" si="21">N519/$N$1055</f>
        <v>0</v>
      </c>
      <c r="Q519" s="19">
        <f t="shared" si="20"/>
        <v>0</v>
      </c>
    </row>
    <row r="520" spans="2:17" x14ac:dyDescent="0.2">
      <c r="B520" s="21"/>
      <c r="C520" s="22"/>
      <c r="D520" s="23"/>
      <c r="E520" s="24"/>
      <c r="F520" s="24"/>
      <c r="G520" s="24"/>
      <c r="H520" s="24"/>
      <c r="I520" s="24"/>
      <c r="J520" s="24"/>
      <c r="K520" s="24"/>
      <c r="L520" s="58">
        <f>IF(K520&gt;=0,K520,0)</f>
        <v>0</v>
      </c>
      <c r="M520" s="58">
        <f>IF(K520&lt;=0,K520,0)</f>
        <v>0</v>
      </c>
      <c r="N520" s="58">
        <f>L520+-M520</f>
        <v>0</v>
      </c>
      <c r="O520" s="19"/>
      <c r="P520" s="19">
        <f t="shared" si="21"/>
        <v>0</v>
      </c>
      <c r="Q520" s="19">
        <f t="shared" si="20"/>
        <v>0</v>
      </c>
    </row>
    <row r="521" spans="2:17" x14ac:dyDescent="0.2">
      <c r="B521" s="21"/>
      <c r="C521" s="22"/>
      <c r="D521" s="23"/>
      <c r="E521" s="24"/>
      <c r="F521" s="24"/>
      <c r="G521" s="24"/>
      <c r="H521" s="24"/>
      <c r="I521" s="24"/>
      <c r="J521" s="24"/>
      <c r="K521" s="24"/>
      <c r="L521" s="58">
        <f>IF(K521&gt;=0,K521,0)</f>
        <v>0</v>
      </c>
      <c r="M521" s="58">
        <f>IF(K521&lt;=0,K521,0)</f>
        <v>0</v>
      </c>
      <c r="N521" s="58">
        <f>L521+-M521</f>
        <v>0</v>
      </c>
      <c r="O521" s="19"/>
      <c r="P521" s="19">
        <f t="shared" si="21"/>
        <v>0</v>
      </c>
      <c r="Q521" s="19">
        <f t="shared" si="20"/>
        <v>0</v>
      </c>
    </row>
    <row r="522" spans="2:17" x14ac:dyDescent="0.2">
      <c r="B522" s="21"/>
      <c r="C522" s="22"/>
      <c r="D522" s="23"/>
      <c r="E522" s="24"/>
      <c r="F522" s="24"/>
      <c r="G522" s="24"/>
      <c r="H522" s="24"/>
      <c r="I522" s="24"/>
      <c r="J522" s="24"/>
      <c r="K522" s="24"/>
      <c r="L522" s="58">
        <f>IF(K522&gt;=0,K522,0)</f>
        <v>0</v>
      </c>
      <c r="M522" s="58">
        <f>IF(K522&lt;=0,K522,0)</f>
        <v>0</v>
      </c>
      <c r="N522" s="58">
        <f>L522+-M522</f>
        <v>0</v>
      </c>
      <c r="O522" s="19"/>
      <c r="P522" s="19">
        <f t="shared" si="21"/>
        <v>0</v>
      </c>
      <c r="Q522" s="19">
        <f t="shared" si="20"/>
        <v>0</v>
      </c>
    </row>
    <row r="523" spans="2:17" x14ac:dyDescent="0.2">
      <c r="B523" s="21"/>
      <c r="C523" s="22"/>
      <c r="D523" s="23"/>
      <c r="E523" s="24"/>
      <c r="F523" s="24"/>
      <c r="G523" s="24"/>
      <c r="H523" s="24"/>
      <c r="I523" s="24"/>
      <c r="J523" s="24"/>
      <c r="K523" s="24"/>
      <c r="L523" s="58">
        <f>IF(K523&gt;=0,K523,0)</f>
        <v>0</v>
      </c>
      <c r="M523" s="58">
        <f>IF(K523&lt;=0,K523,0)</f>
        <v>0</v>
      </c>
      <c r="N523" s="58">
        <f>L523+-M523</f>
        <v>0</v>
      </c>
      <c r="O523" s="19"/>
      <c r="P523" s="19">
        <f t="shared" si="21"/>
        <v>0</v>
      </c>
      <c r="Q523" s="19">
        <f t="shared" si="20"/>
        <v>0</v>
      </c>
    </row>
    <row r="524" spans="2:17" x14ac:dyDescent="0.2">
      <c r="B524" s="21"/>
      <c r="C524" s="22"/>
      <c r="D524" s="23"/>
      <c r="E524" s="24"/>
      <c r="F524" s="24"/>
      <c r="G524" s="24"/>
      <c r="H524" s="24"/>
      <c r="I524" s="24"/>
      <c r="J524" s="24"/>
      <c r="K524" s="24"/>
      <c r="L524" s="58">
        <f>IF(K524&gt;=0,K524,0)</f>
        <v>0</v>
      </c>
      <c r="M524" s="58">
        <f>IF(K524&lt;=0,K524,0)</f>
        <v>0</v>
      </c>
      <c r="N524" s="58">
        <f>L524+-M524</f>
        <v>0</v>
      </c>
      <c r="O524" s="19"/>
      <c r="P524" s="19">
        <f t="shared" si="21"/>
        <v>0</v>
      </c>
      <c r="Q524" s="19">
        <f t="shared" si="20"/>
        <v>0</v>
      </c>
    </row>
    <row r="525" spans="2:17" x14ac:dyDescent="0.2">
      <c r="B525" s="21"/>
      <c r="C525" s="22"/>
      <c r="D525" s="23"/>
      <c r="E525" s="24"/>
      <c r="F525" s="24"/>
      <c r="G525" s="24"/>
      <c r="H525" s="24"/>
      <c r="I525" s="24"/>
      <c r="J525" s="24"/>
      <c r="K525" s="24"/>
      <c r="L525" s="58">
        <f>IF(K525&gt;=0,K525,0)</f>
        <v>0</v>
      </c>
      <c r="M525" s="58">
        <f>IF(K525&lt;=0,K525,0)</f>
        <v>0</v>
      </c>
      <c r="N525" s="58">
        <f>L525+-M525</f>
        <v>0</v>
      </c>
      <c r="O525" s="19"/>
      <c r="P525" s="19">
        <f t="shared" si="21"/>
        <v>0</v>
      </c>
      <c r="Q525" s="19">
        <f t="shared" si="20"/>
        <v>0</v>
      </c>
    </row>
    <row r="526" spans="2:17" x14ac:dyDescent="0.2">
      <c r="B526" s="21"/>
      <c r="C526" s="22"/>
      <c r="D526" s="23"/>
      <c r="E526" s="24"/>
      <c r="F526" s="24"/>
      <c r="G526" s="24"/>
      <c r="H526" s="24"/>
      <c r="I526" s="24"/>
      <c r="J526" s="24"/>
      <c r="K526" s="24"/>
      <c r="L526" s="58">
        <f>IF(K526&gt;=0,K526,0)</f>
        <v>0</v>
      </c>
      <c r="M526" s="58">
        <f>IF(K526&lt;=0,K526,0)</f>
        <v>0</v>
      </c>
      <c r="N526" s="58">
        <f>L526+-M526</f>
        <v>0</v>
      </c>
      <c r="O526" s="19"/>
      <c r="P526" s="19">
        <f t="shared" si="21"/>
        <v>0</v>
      </c>
      <c r="Q526" s="19">
        <f t="shared" si="20"/>
        <v>0</v>
      </c>
    </row>
    <row r="527" spans="2:17" x14ac:dyDescent="0.2">
      <c r="B527" s="21"/>
      <c r="C527" s="22"/>
      <c r="D527" s="23"/>
      <c r="E527" s="24"/>
      <c r="F527" s="24"/>
      <c r="G527" s="24"/>
      <c r="H527" s="24"/>
      <c r="I527" s="24"/>
      <c r="J527" s="24"/>
      <c r="K527" s="24"/>
      <c r="L527" s="58">
        <f>IF(K527&gt;=0,K527,0)</f>
        <v>0</v>
      </c>
      <c r="M527" s="58">
        <f>IF(K527&lt;=0,K527,0)</f>
        <v>0</v>
      </c>
      <c r="N527" s="58">
        <f>L527+-M527</f>
        <v>0</v>
      </c>
      <c r="O527" s="19"/>
      <c r="P527" s="19">
        <f t="shared" si="21"/>
        <v>0</v>
      </c>
      <c r="Q527" s="19">
        <f t="shared" si="20"/>
        <v>0</v>
      </c>
    </row>
    <row r="528" spans="2:17" x14ac:dyDescent="0.2">
      <c r="B528" s="21"/>
      <c r="C528" s="22"/>
      <c r="D528" s="23"/>
      <c r="E528" s="24"/>
      <c r="F528" s="24"/>
      <c r="G528" s="24"/>
      <c r="H528" s="24"/>
      <c r="I528" s="24"/>
      <c r="J528" s="24"/>
      <c r="K528" s="24"/>
      <c r="L528" s="58">
        <f>IF(K528&gt;=0,K528,0)</f>
        <v>0</v>
      </c>
      <c r="M528" s="58">
        <f>IF(K528&lt;=0,K528,0)</f>
        <v>0</v>
      </c>
      <c r="N528" s="58">
        <f>L528+-M528</f>
        <v>0</v>
      </c>
      <c r="O528" s="19"/>
      <c r="P528" s="19">
        <f t="shared" si="21"/>
        <v>0</v>
      </c>
      <c r="Q528" s="19">
        <f t="shared" si="20"/>
        <v>0</v>
      </c>
    </row>
    <row r="529" spans="2:17" x14ac:dyDescent="0.2">
      <c r="B529" s="21"/>
      <c r="C529" s="22"/>
      <c r="D529" s="23"/>
      <c r="E529" s="24"/>
      <c r="F529" s="24"/>
      <c r="G529" s="24"/>
      <c r="H529" s="24"/>
      <c r="I529" s="24"/>
      <c r="J529" s="24"/>
      <c r="K529" s="24"/>
      <c r="L529" s="58">
        <f>IF(K529&gt;=0,K529,0)</f>
        <v>0</v>
      </c>
      <c r="M529" s="58">
        <f>IF(K529&lt;=0,K529,0)</f>
        <v>0</v>
      </c>
      <c r="N529" s="58">
        <f>L529+-M529</f>
        <v>0</v>
      </c>
      <c r="O529" s="19"/>
      <c r="P529" s="19">
        <f t="shared" si="21"/>
        <v>0</v>
      </c>
      <c r="Q529" s="19">
        <f t="shared" si="20"/>
        <v>0</v>
      </c>
    </row>
    <row r="530" spans="2:17" x14ac:dyDescent="0.2">
      <c r="B530" s="21"/>
      <c r="C530" s="22"/>
      <c r="D530" s="23"/>
      <c r="E530" s="24"/>
      <c r="F530" s="24"/>
      <c r="G530" s="24"/>
      <c r="H530" s="24"/>
      <c r="I530" s="24"/>
      <c r="J530" s="24"/>
      <c r="K530" s="24"/>
      <c r="L530" s="58">
        <f>IF(K530&gt;=0,K530,0)</f>
        <v>0</v>
      </c>
      <c r="M530" s="58">
        <f>IF(K530&lt;=0,K530,0)</f>
        <v>0</v>
      </c>
      <c r="N530" s="58">
        <f>L530+-M530</f>
        <v>0</v>
      </c>
      <c r="O530" s="19"/>
      <c r="P530" s="19">
        <f t="shared" si="21"/>
        <v>0</v>
      </c>
      <c r="Q530" s="19">
        <f t="shared" si="20"/>
        <v>0</v>
      </c>
    </row>
    <row r="531" spans="2:17" x14ac:dyDescent="0.2">
      <c r="B531" s="21"/>
      <c r="C531" s="22"/>
      <c r="D531" s="23"/>
      <c r="E531" s="24"/>
      <c r="F531" s="24"/>
      <c r="G531" s="24"/>
      <c r="H531" s="24"/>
      <c r="I531" s="24"/>
      <c r="J531" s="24"/>
      <c r="K531" s="24"/>
      <c r="L531" s="58">
        <f>IF(K531&gt;=0,K531,0)</f>
        <v>0</v>
      </c>
      <c r="M531" s="58">
        <f>IF(K531&lt;=0,K531,0)</f>
        <v>0</v>
      </c>
      <c r="N531" s="58">
        <f>L531+-M531</f>
        <v>0</v>
      </c>
      <c r="O531" s="19"/>
      <c r="P531" s="19">
        <f t="shared" si="21"/>
        <v>0</v>
      </c>
      <c r="Q531" s="19">
        <f t="shared" si="20"/>
        <v>0</v>
      </c>
    </row>
    <row r="532" spans="2:17" x14ac:dyDescent="0.2">
      <c r="B532" s="21"/>
      <c r="C532" s="22"/>
      <c r="D532" s="23"/>
      <c r="E532" s="24"/>
      <c r="F532" s="24"/>
      <c r="G532" s="24"/>
      <c r="H532" s="24"/>
      <c r="I532" s="24"/>
      <c r="J532" s="24"/>
      <c r="K532" s="24"/>
      <c r="L532" s="58">
        <f>IF(K532&gt;=0,K532,0)</f>
        <v>0</v>
      </c>
      <c r="M532" s="58">
        <f>IF(K532&lt;=0,K532,0)</f>
        <v>0</v>
      </c>
      <c r="N532" s="58">
        <f>L532+-M532</f>
        <v>0</v>
      </c>
      <c r="O532" s="19"/>
      <c r="P532" s="19">
        <f t="shared" si="21"/>
        <v>0</v>
      </c>
      <c r="Q532" s="19">
        <f t="shared" si="20"/>
        <v>0</v>
      </c>
    </row>
    <row r="533" spans="2:17" x14ac:dyDescent="0.2">
      <c r="B533" s="21"/>
      <c r="C533" s="22"/>
      <c r="D533" s="23"/>
      <c r="E533" s="24"/>
      <c r="F533" s="24"/>
      <c r="G533" s="24"/>
      <c r="H533" s="24"/>
      <c r="I533" s="24"/>
      <c r="J533" s="24"/>
      <c r="K533" s="24"/>
      <c r="L533" s="58">
        <f>IF(K533&gt;=0,K533,0)</f>
        <v>0</v>
      </c>
      <c r="M533" s="58">
        <f>IF(K533&lt;=0,K533,0)</f>
        <v>0</v>
      </c>
      <c r="N533" s="58">
        <f>L533+-M533</f>
        <v>0</v>
      </c>
      <c r="O533" s="19"/>
      <c r="P533" s="19">
        <f t="shared" si="21"/>
        <v>0</v>
      </c>
      <c r="Q533" s="19">
        <f t="shared" si="20"/>
        <v>0</v>
      </c>
    </row>
    <row r="534" spans="2:17" x14ac:dyDescent="0.2">
      <c r="B534" s="21"/>
      <c r="C534" s="22"/>
      <c r="D534" s="23"/>
      <c r="E534" s="24"/>
      <c r="F534" s="24"/>
      <c r="G534" s="24"/>
      <c r="H534" s="24"/>
      <c r="I534" s="24"/>
      <c r="J534" s="24"/>
      <c r="K534" s="24"/>
      <c r="L534" s="58">
        <f>IF(K534&gt;=0,K534,0)</f>
        <v>0</v>
      </c>
      <c r="M534" s="58">
        <f>IF(K534&lt;=0,K534,0)</f>
        <v>0</v>
      </c>
      <c r="N534" s="58">
        <f>L534+-M534</f>
        <v>0</v>
      </c>
      <c r="O534" s="19"/>
      <c r="P534" s="19">
        <f t="shared" si="21"/>
        <v>0</v>
      </c>
      <c r="Q534" s="19">
        <f t="shared" si="20"/>
        <v>0</v>
      </c>
    </row>
    <row r="535" spans="2:17" x14ac:dyDescent="0.2">
      <c r="B535" s="21"/>
      <c r="C535" s="22"/>
      <c r="D535" s="23"/>
      <c r="E535" s="24"/>
      <c r="F535" s="24"/>
      <c r="G535" s="24"/>
      <c r="H535" s="24"/>
      <c r="I535" s="24"/>
      <c r="J535" s="24"/>
      <c r="K535" s="24"/>
      <c r="L535" s="58">
        <f>IF(K535&gt;=0,K535,0)</f>
        <v>0</v>
      </c>
      <c r="M535" s="58">
        <f>IF(K535&lt;=0,K535,0)</f>
        <v>0</v>
      </c>
      <c r="N535" s="58">
        <f>L535+-M535</f>
        <v>0</v>
      </c>
      <c r="O535" s="19"/>
      <c r="P535" s="19">
        <f t="shared" si="21"/>
        <v>0</v>
      </c>
      <c r="Q535" s="19">
        <f t="shared" si="20"/>
        <v>0</v>
      </c>
    </row>
    <row r="536" spans="2:17" x14ac:dyDescent="0.2">
      <c r="B536" s="21"/>
      <c r="C536" s="22"/>
      <c r="D536" s="23"/>
      <c r="E536" s="24"/>
      <c r="F536" s="24"/>
      <c r="G536" s="24"/>
      <c r="H536" s="24"/>
      <c r="I536" s="24"/>
      <c r="J536" s="24"/>
      <c r="K536" s="24"/>
      <c r="L536" s="58">
        <f>IF(K536&gt;=0,K536,0)</f>
        <v>0</v>
      </c>
      <c r="M536" s="58">
        <f>IF(K536&lt;=0,K536,0)</f>
        <v>0</v>
      </c>
      <c r="N536" s="58">
        <f>L536+-M536</f>
        <v>0</v>
      </c>
      <c r="O536" s="19"/>
      <c r="P536" s="19">
        <f t="shared" si="21"/>
        <v>0</v>
      </c>
      <c r="Q536" s="19">
        <f t="shared" si="20"/>
        <v>0</v>
      </c>
    </row>
    <row r="537" spans="2:17" x14ac:dyDescent="0.2">
      <c r="B537" s="21"/>
      <c r="C537" s="22"/>
      <c r="D537" s="23"/>
      <c r="E537" s="24"/>
      <c r="F537" s="24"/>
      <c r="G537" s="24"/>
      <c r="H537" s="24"/>
      <c r="I537" s="24"/>
      <c r="J537" s="24"/>
      <c r="K537" s="24"/>
      <c r="L537" s="58">
        <f>IF(K537&gt;=0,K537,0)</f>
        <v>0</v>
      </c>
      <c r="M537" s="58">
        <f>IF(K537&lt;=0,K537,0)</f>
        <v>0</v>
      </c>
      <c r="N537" s="58">
        <f>L537+-M537</f>
        <v>0</v>
      </c>
      <c r="O537" s="19"/>
      <c r="P537" s="19">
        <f t="shared" si="21"/>
        <v>0</v>
      </c>
      <c r="Q537" s="19">
        <f t="shared" si="20"/>
        <v>0</v>
      </c>
    </row>
    <row r="538" spans="2:17" x14ac:dyDescent="0.2">
      <c r="B538" s="21"/>
      <c r="C538" s="22"/>
      <c r="D538" s="23"/>
      <c r="E538" s="24"/>
      <c r="F538" s="24"/>
      <c r="G538" s="24"/>
      <c r="H538" s="24"/>
      <c r="I538" s="24"/>
      <c r="J538" s="24"/>
      <c r="K538" s="24"/>
      <c r="L538" s="58">
        <f>IF(K538&gt;=0,K538,0)</f>
        <v>0</v>
      </c>
      <c r="M538" s="58">
        <f>IF(K538&lt;=0,K538,0)</f>
        <v>0</v>
      </c>
      <c r="N538" s="58">
        <f>L538+-M538</f>
        <v>0</v>
      </c>
      <c r="O538" s="19"/>
      <c r="P538" s="19">
        <f t="shared" si="21"/>
        <v>0</v>
      </c>
      <c r="Q538" s="19">
        <f t="shared" si="20"/>
        <v>0</v>
      </c>
    </row>
    <row r="539" spans="2:17" x14ac:dyDescent="0.2">
      <c r="B539" s="21"/>
      <c r="C539" s="22"/>
      <c r="D539" s="23"/>
      <c r="E539" s="24"/>
      <c r="F539" s="24"/>
      <c r="G539" s="24"/>
      <c r="H539" s="24"/>
      <c r="I539" s="24"/>
      <c r="J539" s="24"/>
      <c r="K539" s="24"/>
      <c r="L539" s="58">
        <f>IF(K539&gt;=0,K539,0)</f>
        <v>0</v>
      </c>
      <c r="M539" s="58">
        <f>IF(K539&lt;=0,K539,0)</f>
        <v>0</v>
      </c>
      <c r="N539" s="58">
        <f>L539+-M539</f>
        <v>0</v>
      </c>
      <c r="O539" s="19"/>
      <c r="P539" s="19">
        <f t="shared" si="21"/>
        <v>0</v>
      </c>
      <c r="Q539" s="19">
        <f t="shared" si="20"/>
        <v>0</v>
      </c>
    </row>
    <row r="540" spans="2:17" x14ac:dyDescent="0.2">
      <c r="B540" s="21"/>
      <c r="C540" s="22"/>
      <c r="D540" s="23"/>
      <c r="E540" s="24"/>
      <c r="F540" s="24"/>
      <c r="G540" s="24"/>
      <c r="H540" s="24"/>
      <c r="I540" s="24"/>
      <c r="J540" s="24"/>
      <c r="K540" s="24"/>
      <c r="L540" s="58">
        <f>IF(K540&gt;=0,K540,0)</f>
        <v>0</v>
      </c>
      <c r="M540" s="58">
        <f>IF(K540&lt;=0,K540,0)</f>
        <v>0</v>
      </c>
      <c r="N540" s="58">
        <f>L540+-M540</f>
        <v>0</v>
      </c>
      <c r="O540" s="19"/>
      <c r="P540" s="19">
        <f t="shared" si="21"/>
        <v>0</v>
      </c>
      <c r="Q540" s="19">
        <f t="shared" si="20"/>
        <v>0</v>
      </c>
    </row>
    <row r="541" spans="2:17" x14ac:dyDescent="0.2">
      <c r="B541" s="21"/>
      <c r="C541" s="22"/>
      <c r="D541" s="23"/>
      <c r="E541" s="24"/>
      <c r="F541" s="24"/>
      <c r="G541" s="24"/>
      <c r="H541" s="24"/>
      <c r="I541" s="24"/>
      <c r="J541" s="24"/>
      <c r="K541" s="24"/>
      <c r="L541" s="58">
        <f>IF(K541&gt;=0,K541,0)</f>
        <v>0</v>
      </c>
      <c r="M541" s="58">
        <f>IF(K541&lt;=0,K541,0)</f>
        <v>0</v>
      </c>
      <c r="N541" s="58">
        <f>L541+-M541</f>
        <v>0</v>
      </c>
      <c r="O541" s="19"/>
      <c r="P541" s="19">
        <f t="shared" si="21"/>
        <v>0</v>
      </c>
      <c r="Q541" s="19">
        <f t="shared" si="20"/>
        <v>0</v>
      </c>
    </row>
    <row r="542" spans="2:17" x14ac:dyDescent="0.2">
      <c r="B542" s="21"/>
      <c r="C542" s="22"/>
      <c r="D542" s="23"/>
      <c r="E542" s="24"/>
      <c r="F542" s="24"/>
      <c r="G542" s="24"/>
      <c r="H542" s="24"/>
      <c r="I542" s="24"/>
      <c r="J542" s="24"/>
      <c r="K542" s="24"/>
      <c r="L542" s="58">
        <f>IF(K542&gt;=0,K542,0)</f>
        <v>0</v>
      </c>
      <c r="M542" s="58">
        <f>IF(K542&lt;=0,K542,0)</f>
        <v>0</v>
      </c>
      <c r="N542" s="58">
        <f>L542+-M542</f>
        <v>0</v>
      </c>
      <c r="O542" s="19"/>
      <c r="P542" s="19">
        <f t="shared" si="21"/>
        <v>0</v>
      </c>
      <c r="Q542" s="19">
        <f t="shared" si="20"/>
        <v>0</v>
      </c>
    </row>
    <row r="543" spans="2:17" x14ac:dyDescent="0.2">
      <c r="B543" s="21"/>
      <c r="C543" s="22"/>
      <c r="D543" s="23"/>
      <c r="E543" s="24"/>
      <c r="F543" s="24"/>
      <c r="G543" s="24"/>
      <c r="H543" s="24"/>
      <c r="I543" s="24"/>
      <c r="J543" s="24"/>
      <c r="K543" s="24"/>
      <c r="L543" s="58">
        <f>IF(K543&gt;=0,K543,0)</f>
        <v>0</v>
      </c>
      <c r="M543" s="58">
        <f>IF(K543&lt;=0,K543,0)</f>
        <v>0</v>
      </c>
      <c r="N543" s="58">
        <f>L543+-M543</f>
        <v>0</v>
      </c>
      <c r="O543" s="19"/>
      <c r="P543" s="19">
        <f t="shared" si="21"/>
        <v>0</v>
      </c>
      <c r="Q543" s="19">
        <f t="shared" si="20"/>
        <v>0</v>
      </c>
    </row>
    <row r="544" spans="2:17" x14ac:dyDescent="0.2">
      <c r="B544" s="21"/>
      <c r="C544" s="22"/>
      <c r="D544" s="23"/>
      <c r="E544" s="24"/>
      <c r="F544" s="24"/>
      <c r="G544" s="24"/>
      <c r="H544" s="24"/>
      <c r="I544" s="24"/>
      <c r="J544" s="24"/>
      <c r="K544" s="24"/>
      <c r="L544" s="58">
        <f>IF(K544&gt;=0,K544,0)</f>
        <v>0</v>
      </c>
      <c r="M544" s="58">
        <f>IF(K544&lt;=0,K544,0)</f>
        <v>0</v>
      </c>
      <c r="N544" s="58">
        <f>L544+-M544</f>
        <v>0</v>
      </c>
      <c r="O544" s="19"/>
      <c r="P544" s="19">
        <f t="shared" si="21"/>
        <v>0</v>
      </c>
      <c r="Q544" s="19">
        <f t="shared" si="20"/>
        <v>0</v>
      </c>
    </row>
    <row r="545" spans="2:17" x14ac:dyDescent="0.2">
      <c r="B545" s="21"/>
      <c r="C545" s="22"/>
      <c r="D545" s="23"/>
      <c r="E545" s="24"/>
      <c r="F545" s="24"/>
      <c r="G545" s="24"/>
      <c r="H545" s="24"/>
      <c r="I545" s="24"/>
      <c r="J545" s="24"/>
      <c r="K545" s="24"/>
      <c r="L545" s="58">
        <f>IF(K545&gt;=0,K545,0)</f>
        <v>0</v>
      </c>
      <c r="M545" s="58">
        <f>IF(K545&lt;=0,K545,0)</f>
        <v>0</v>
      </c>
      <c r="N545" s="58">
        <f>L545+-M545</f>
        <v>0</v>
      </c>
      <c r="O545" s="19"/>
      <c r="P545" s="19">
        <f t="shared" si="21"/>
        <v>0</v>
      </c>
      <c r="Q545" s="19">
        <f t="shared" si="20"/>
        <v>0</v>
      </c>
    </row>
    <row r="546" spans="2:17" x14ac:dyDescent="0.2">
      <c r="B546" s="21"/>
      <c r="C546" s="22"/>
      <c r="D546" s="23"/>
      <c r="E546" s="24"/>
      <c r="F546" s="24"/>
      <c r="G546" s="24"/>
      <c r="H546" s="24"/>
      <c r="I546" s="24"/>
      <c r="J546" s="24"/>
      <c r="K546" s="24"/>
      <c r="L546" s="58">
        <f>IF(K546&gt;=0,K546,0)</f>
        <v>0</v>
      </c>
      <c r="M546" s="58">
        <f>IF(K546&lt;=0,K546,0)</f>
        <v>0</v>
      </c>
      <c r="N546" s="58">
        <f>L546+-M546</f>
        <v>0</v>
      </c>
      <c r="O546" s="19"/>
      <c r="P546" s="19">
        <f t="shared" si="21"/>
        <v>0</v>
      </c>
      <c r="Q546" s="19">
        <f t="shared" si="20"/>
        <v>0</v>
      </c>
    </row>
    <row r="547" spans="2:17" x14ac:dyDescent="0.2">
      <c r="B547" s="21"/>
      <c r="C547" s="22"/>
      <c r="D547" s="23"/>
      <c r="E547" s="24"/>
      <c r="F547" s="24"/>
      <c r="G547" s="24"/>
      <c r="H547" s="24"/>
      <c r="I547" s="24"/>
      <c r="J547" s="24"/>
      <c r="K547" s="24"/>
      <c r="L547" s="58">
        <f>IF(K547&gt;=0,K547,0)</f>
        <v>0</v>
      </c>
      <c r="M547" s="58">
        <f>IF(K547&lt;=0,K547,0)</f>
        <v>0</v>
      </c>
      <c r="N547" s="58">
        <f>L547+-M547</f>
        <v>0</v>
      </c>
      <c r="O547" s="19"/>
      <c r="P547" s="19">
        <f t="shared" si="21"/>
        <v>0</v>
      </c>
      <c r="Q547" s="19">
        <f t="shared" si="20"/>
        <v>0</v>
      </c>
    </row>
    <row r="548" spans="2:17" x14ac:dyDescent="0.2">
      <c r="B548" s="21"/>
      <c r="C548" s="22"/>
      <c r="D548" s="23"/>
      <c r="E548" s="24"/>
      <c r="F548" s="24"/>
      <c r="G548" s="24"/>
      <c r="H548" s="24"/>
      <c r="I548" s="24"/>
      <c r="J548" s="24"/>
      <c r="K548" s="24"/>
      <c r="L548" s="58">
        <f>IF(K548&gt;=0,K548,0)</f>
        <v>0</v>
      </c>
      <c r="M548" s="58">
        <f>IF(K548&lt;=0,K548,0)</f>
        <v>0</v>
      </c>
      <c r="N548" s="58">
        <f>L548+-M548</f>
        <v>0</v>
      </c>
      <c r="O548" s="19"/>
      <c r="P548" s="19">
        <f t="shared" si="21"/>
        <v>0</v>
      </c>
      <c r="Q548" s="19">
        <f t="shared" si="20"/>
        <v>0</v>
      </c>
    </row>
    <row r="549" spans="2:17" x14ac:dyDescent="0.2">
      <c r="B549" s="21"/>
      <c r="C549" s="22"/>
      <c r="D549" s="23"/>
      <c r="E549" s="24"/>
      <c r="F549" s="24"/>
      <c r="G549" s="24"/>
      <c r="H549" s="24"/>
      <c r="I549" s="24"/>
      <c r="J549" s="24"/>
      <c r="K549" s="24"/>
      <c r="L549" s="58">
        <f>IF(K549&gt;=0,K549,0)</f>
        <v>0</v>
      </c>
      <c r="M549" s="58">
        <f>IF(K549&lt;=0,K549,0)</f>
        <v>0</v>
      </c>
      <c r="N549" s="58">
        <f>L549+-M549</f>
        <v>0</v>
      </c>
      <c r="O549" s="19"/>
      <c r="P549" s="19">
        <f t="shared" si="21"/>
        <v>0</v>
      </c>
      <c r="Q549" s="19">
        <f t="shared" si="20"/>
        <v>0</v>
      </c>
    </row>
    <row r="550" spans="2:17" x14ac:dyDescent="0.2">
      <c r="B550" s="21"/>
      <c r="C550" s="22"/>
      <c r="D550" s="23"/>
      <c r="E550" s="24"/>
      <c r="F550" s="24"/>
      <c r="G550" s="24"/>
      <c r="H550" s="24"/>
      <c r="I550" s="24"/>
      <c r="J550" s="24"/>
      <c r="K550" s="24"/>
      <c r="L550" s="58">
        <f>IF(K550&gt;=0,K550,0)</f>
        <v>0</v>
      </c>
      <c r="M550" s="58">
        <f>IF(K550&lt;=0,K550,0)</f>
        <v>0</v>
      </c>
      <c r="N550" s="58">
        <f>L550+-M550</f>
        <v>0</v>
      </c>
      <c r="O550" s="19"/>
      <c r="P550" s="19">
        <f t="shared" si="21"/>
        <v>0</v>
      </c>
      <c r="Q550" s="19">
        <f t="shared" si="20"/>
        <v>0</v>
      </c>
    </row>
    <row r="551" spans="2:17" x14ac:dyDescent="0.2">
      <c r="B551" s="21"/>
      <c r="C551" s="22"/>
      <c r="D551" s="23"/>
      <c r="E551" s="24"/>
      <c r="F551" s="24"/>
      <c r="G551" s="24"/>
      <c r="H551" s="24"/>
      <c r="I551" s="24"/>
      <c r="J551" s="24"/>
      <c r="K551" s="24"/>
      <c r="L551" s="58">
        <f>IF(K551&gt;=0,K551,0)</f>
        <v>0</v>
      </c>
      <c r="M551" s="58">
        <f>IF(K551&lt;=0,K551,0)</f>
        <v>0</v>
      </c>
      <c r="N551" s="58">
        <f>L551+-M551</f>
        <v>0</v>
      </c>
      <c r="O551" s="19"/>
      <c r="P551" s="19">
        <f t="shared" si="21"/>
        <v>0</v>
      </c>
      <c r="Q551" s="19">
        <f t="shared" si="20"/>
        <v>0</v>
      </c>
    </row>
    <row r="552" spans="2:17" x14ac:dyDescent="0.2">
      <c r="B552" s="21"/>
      <c r="C552" s="22"/>
      <c r="D552" s="23"/>
      <c r="E552" s="24"/>
      <c r="F552" s="24"/>
      <c r="G552" s="24"/>
      <c r="H552" s="24"/>
      <c r="I552" s="24"/>
      <c r="J552" s="24"/>
      <c r="K552" s="24"/>
      <c r="L552" s="58">
        <f>IF(K552&gt;=0,K552,0)</f>
        <v>0</v>
      </c>
      <c r="M552" s="58">
        <f>IF(K552&lt;=0,K552,0)</f>
        <v>0</v>
      </c>
      <c r="N552" s="58">
        <f>L552+-M552</f>
        <v>0</v>
      </c>
      <c r="O552" s="19"/>
      <c r="P552" s="19">
        <f t="shared" si="21"/>
        <v>0</v>
      </c>
      <c r="Q552" s="19">
        <f t="shared" si="20"/>
        <v>0</v>
      </c>
    </row>
    <row r="553" spans="2:17" x14ac:dyDescent="0.2">
      <c r="B553" s="21"/>
      <c r="C553" s="22"/>
      <c r="D553" s="23"/>
      <c r="E553" s="24"/>
      <c r="F553" s="24"/>
      <c r="G553" s="24"/>
      <c r="H553" s="24"/>
      <c r="I553" s="24"/>
      <c r="J553" s="24"/>
      <c r="K553" s="24"/>
      <c r="L553" s="58">
        <f>IF(K553&gt;=0,K553,0)</f>
        <v>0</v>
      </c>
      <c r="M553" s="58">
        <f>IF(K553&lt;=0,K553,0)</f>
        <v>0</v>
      </c>
      <c r="N553" s="58">
        <f>L553+-M553</f>
        <v>0</v>
      </c>
      <c r="O553" s="19"/>
      <c r="P553" s="19">
        <f t="shared" si="21"/>
        <v>0</v>
      </c>
      <c r="Q553" s="19">
        <f t="shared" si="20"/>
        <v>0</v>
      </c>
    </row>
    <row r="554" spans="2:17" x14ac:dyDescent="0.2">
      <c r="B554" s="21"/>
      <c r="C554" s="22"/>
      <c r="D554" s="23"/>
      <c r="E554" s="24"/>
      <c r="F554" s="24"/>
      <c r="G554" s="24"/>
      <c r="H554" s="24"/>
      <c r="I554" s="24"/>
      <c r="J554" s="24"/>
      <c r="K554" s="24"/>
      <c r="L554" s="58">
        <f>IF(K554&gt;=0,K554,0)</f>
        <v>0</v>
      </c>
      <c r="M554" s="58">
        <f>IF(K554&lt;=0,K554,0)</f>
        <v>0</v>
      </c>
      <c r="N554" s="58">
        <f>L554+-M554</f>
        <v>0</v>
      </c>
      <c r="O554" s="19"/>
      <c r="P554" s="19">
        <f t="shared" si="21"/>
        <v>0</v>
      </c>
      <c r="Q554" s="19">
        <f t="shared" si="20"/>
        <v>0</v>
      </c>
    </row>
    <row r="555" spans="2:17" x14ac:dyDescent="0.2">
      <c r="B555" s="21"/>
      <c r="C555" s="22"/>
      <c r="D555" s="23"/>
      <c r="E555" s="24"/>
      <c r="F555" s="24"/>
      <c r="G555" s="24"/>
      <c r="H555" s="24"/>
      <c r="I555" s="24"/>
      <c r="J555" s="24"/>
      <c r="K555" s="24"/>
      <c r="L555" s="58">
        <f>IF(K555&gt;=0,K555,0)</f>
        <v>0</v>
      </c>
      <c r="M555" s="58">
        <f>IF(K555&lt;=0,K555,0)</f>
        <v>0</v>
      </c>
      <c r="N555" s="58">
        <f>L555+-M555</f>
        <v>0</v>
      </c>
      <c r="O555" s="19"/>
      <c r="P555" s="19">
        <f t="shared" si="21"/>
        <v>0</v>
      </c>
      <c r="Q555" s="19">
        <f t="shared" si="20"/>
        <v>0</v>
      </c>
    </row>
    <row r="556" spans="2:17" x14ac:dyDescent="0.2">
      <c r="B556" s="21"/>
      <c r="C556" s="22"/>
      <c r="D556" s="23"/>
      <c r="E556" s="24"/>
      <c r="F556" s="24"/>
      <c r="G556" s="24"/>
      <c r="H556" s="24"/>
      <c r="I556" s="24"/>
      <c r="J556" s="24"/>
      <c r="K556" s="24"/>
      <c r="L556" s="58">
        <f>IF(K556&gt;=0,K556,0)</f>
        <v>0</v>
      </c>
      <c r="M556" s="58">
        <f>IF(K556&lt;=0,K556,0)</f>
        <v>0</v>
      </c>
      <c r="N556" s="58">
        <f>L556+-M556</f>
        <v>0</v>
      </c>
      <c r="O556" s="19"/>
      <c r="P556" s="19">
        <f t="shared" si="21"/>
        <v>0</v>
      </c>
      <c r="Q556" s="19">
        <f t="shared" si="20"/>
        <v>0</v>
      </c>
    </row>
    <row r="557" spans="2:17" x14ac:dyDescent="0.2">
      <c r="B557" s="21"/>
      <c r="C557" s="22"/>
      <c r="D557" s="23"/>
      <c r="E557" s="24"/>
      <c r="F557" s="24"/>
      <c r="G557" s="24"/>
      <c r="H557" s="24"/>
      <c r="I557" s="24"/>
      <c r="J557" s="24"/>
      <c r="K557" s="24"/>
      <c r="L557" s="58">
        <f>IF(K557&gt;=0,K557,0)</f>
        <v>0</v>
      </c>
      <c r="M557" s="58">
        <f>IF(K557&lt;=0,K557,0)</f>
        <v>0</v>
      </c>
      <c r="N557" s="58">
        <f>L557+-M557</f>
        <v>0</v>
      </c>
      <c r="O557" s="19"/>
      <c r="P557" s="19">
        <f t="shared" si="21"/>
        <v>0</v>
      </c>
      <c r="Q557" s="19">
        <f t="shared" si="20"/>
        <v>0</v>
      </c>
    </row>
    <row r="558" spans="2:17" x14ac:dyDescent="0.2">
      <c r="B558" s="21"/>
      <c r="C558" s="22"/>
      <c r="D558" s="23"/>
      <c r="E558" s="24"/>
      <c r="F558" s="24"/>
      <c r="G558" s="24"/>
      <c r="H558" s="24"/>
      <c r="I558" s="24"/>
      <c r="J558" s="24"/>
      <c r="K558" s="24"/>
      <c r="L558" s="58">
        <f>IF(K558&gt;=0,K558,0)</f>
        <v>0</v>
      </c>
      <c r="M558" s="58">
        <f>IF(K558&lt;=0,K558,0)</f>
        <v>0</v>
      </c>
      <c r="N558" s="58">
        <f>L558+-M558</f>
        <v>0</v>
      </c>
      <c r="O558" s="19"/>
      <c r="P558" s="19">
        <f t="shared" si="21"/>
        <v>0</v>
      </c>
      <c r="Q558" s="19">
        <f t="shared" si="20"/>
        <v>0</v>
      </c>
    </row>
    <row r="559" spans="2:17" x14ac:dyDescent="0.2">
      <c r="B559" s="21"/>
      <c r="C559" s="22"/>
      <c r="D559" s="23"/>
      <c r="E559" s="24"/>
      <c r="F559" s="24"/>
      <c r="G559" s="24"/>
      <c r="H559" s="24"/>
      <c r="I559" s="24"/>
      <c r="J559" s="24"/>
      <c r="K559" s="24"/>
      <c r="L559" s="58">
        <f>IF(K559&gt;=0,K559,0)</f>
        <v>0</v>
      </c>
      <c r="M559" s="58">
        <f>IF(K559&lt;=0,K559,0)</f>
        <v>0</v>
      </c>
      <c r="N559" s="58">
        <f>L559+-M559</f>
        <v>0</v>
      </c>
      <c r="O559" s="19"/>
      <c r="P559" s="19">
        <f t="shared" si="21"/>
        <v>0</v>
      </c>
      <c r="Q559" s="19">
        <f t="shared" si="20"/>
        <v>0</v>
      </c>
    </row>
    <row r="560" spans="2:17" x14ac:dyDescent="0.2">
      <c r="B560" s="21"/>
      <c r="C560" s="22"/>
      <c r="D560" s="23"/>
      <c r="E560" s="24"/>
      <c r="F560" s="24"/>
      <c r="G560" s="24"/>
      <c r="H560" s="24"/>
      <c r="I560" s="24"/>
      <c r="J560" s="24"/>
      <c r="K560" s="24"/>
      <c r="L560" s="58">
        <f>IF(K560&gt;=0,K560,0)</f>
        <v>0</v>
      </c>
      <c r="M560" s="58">
        <f>IF(K560&lt;=0,K560,0)</f>
        <v>0</v>
      </c>
      <c r="N560" s="58">
        <f>L560+-M560</f>
        <v>0</v>
      </c>
      <c r="O560" s="19"/>
      <c r="P560" s="19">
        <f t="shared" si="21"/>
        <v>0</v>
      </c>
      <c r="Q560" s="19">
        <f t="shared" si="20"/>
        <v>0</v>
      </c>
    </row>
    <row r="561" spans="2:17" x14ac:dyDescent="0.2">
      <c r="B561" s="21"/>
      <c r="C561" s="22"/>
      <c r="D561" s="23"/>
      <c r="E561" s="24"/>
      <c r="F561" s="24"/>
      <c r="G561" s="24"/>
      <c r="H561" s="24"/>
      <c r="I561" s="24"/>
      <c r="J561" s="24"/>
      <c r="K561" s="24"/>
      <c r="L561" s="58">
        <f>IF(K561&gt;=0,K561,0)</f>
        <v>0</v>
      </c>
      <c r="M561" s="58">
        <f>IF(K561&lt;=0,K561,0)</f>
        <v>0</v>
      </c>
      <c r="N561" s="58">
        <f>L561+-M561</f>
        <v>0</v>
      </c>
      <c r="O561" s="19"/>
      <c r="P561" s="19">
        <f t="shared" si="21"/>
        <v>0</v>
      </c>
      <c r="Q561" s="19">
        <f t="shared" si="20"/>
        <v>0</v>
      </c>
    </row>
    <row r="562" spans="2:17" x14ac:dyDescent="0.2">
      <c r="B562" s="21"/>
      <c r="C562" s="22"/>
      <c r="D562" s="23"/>
      <c r="E562" s="24"/>
      <c r="F562" s="24"/>
      <c r="G562" s="24"/>
      <c r="H562" s="24"/>
      <c r="I562" s="24"/>
      <c r="J562" s="24"/>
      <c r="K562" s="24"/>
      <c r="L562" s="58">
        <f>IF(K562&gt;=0,K562,0)</f>
        <v>0</v>
      </c>
      <c r="M562" s="58">
        <f>IF(K562&lt;=0,K562,0)</f>
        <v>0</v>
      </c>
      <c r="N562" s="58">
        <f>L562+-M562</f>
        <v>0</v>
      </c>
      <c r="O562" s="19"/>
      <c r="P562" s="19">
        <f t="shared" si="21"/>
        <v>0</v>
      </c>
      <c r="Q562" s="19">
        <f t="shared" si="20"/>
        <v>0</v>
      </c>
    </row>
    <row r="563" spans="2:17" x14ac:dyDescent="0.2">
      <c r="B563" s="21"/>
      <c r="C563" s="22"/>
      <c r="D563" s="23"/>
      <c r="E563" s="24"/>
      <c r="F563" s="24"/>
      <c r="G563" s="24"/>
      <c r="H563" s="24"/>
      <c r="I563" s="24"/>
      <c r="J563" s="24"/>
      <c r="K563" s="24"/>
      <c r="L563" s="58">
        <f>IF(K563&gt;=0,K563,0)</f>
        <v>0</v>
      </c>
      <c r="M563" s="58">
        <f>IF(K563&lt;=0,K563,0)</f>
        <v>0</v>
      </c>
      <c r="N563" s="58">
        <f>L563+-M563</f>
        <v>0</v>
      </c>
      <c r="O563" s="19"/>
      <c r="P563" s="19">
        <f t="shared" si="21"/>
        <v>0</v>
      </c>
      <c r="Q563" s="19">
        <f t="shared" si="20"/>
        <v>0</v>
      </c>
    </row>
    <row r="564" spans="2:17" x14ac:dyDescent="0.2">
      <c r="B564" s="21"/>
      <c r="C564" s="22"/>
      <c r="D564" s="23"/>
      <c r="E564" s="24"/>
      <c r="F564" s="24"/>
      <c r="G564" s="24"/>
      <c r="H564" s="24"/>
      <c r="I564" s="24"/>
      <c r="J564" s="24"/>
      <c r="K564" s="24"/>
      <c r="L564" s="58">
        <f>IF(K564&gt;=0,K564,0)</f>
        <v>0</v>
      </c>
      <c r="M564" s="58">
        <f>IF(K564&lt;=0,K564,0)</f>
        <v>0</v>
      </c>
      <c r="N564" s="58">
        <f>L564+-M564</f>
        <v>0</v>
      </c>
      <c r="O564" s="19"/>
      <c r="P564" s="19">
        <f t="shared" si="21"/>
        <v>0</v>
      </c>
      <c r="Q564" s="19">
        <f t="shared" si="20"/>
        <v>0</v>
      </c>
    </row>
    <row r="565" spans="2:17" x14ac:dyDescent="0.2">
      <c r="B565" s="21"/>
      <c r="C565" s="22"/>
      <c r="D565" s="23"/>
      <c r="E565" s="24"/>
      <c r="F565" s="24"/>
      <c r="G565" s="24"/>
      <c r="H565" s="24"/>
      <c r="I565" s="24"/>
      <c r="J565" s="24"/>
      <c r="K565" s="24"/>
      <c r="L565" s="58">
        <f>IF(K565&gt;=0,K565,0)</f>
        <v>0</v>
      </c>
      <c r="M565" s="58">
        <f>IF(K565&lt;=0,K565,0)</f>
        <v>0</v>
      </c>
      <c r="N565" s="58">
        <f>L565+-M565</f>
        <v>0</v>
      </c>
      <c r="O565" s="19"/>
      <c r="P565" s="19">
        <f t="shared" si="21"/>
        <v>0</v>
      </c>
      <c r="Q565" s="19">
        <f t="shared" si="20"/>
        <v>0</v>
      </c>
    </row>
    <row r="566" spans="2:17" x14ac:dyDescent="0.2">
      <c r="B566" s="21"/>
      <c r="C566" s="22"/>
      <c r="D566" s="23"/>
      <c r="E566" s="24"/>
      <c r="F566" s="24"/>
      <c r="G566" s="24"/>
      <c r="H566" s="24"/>
      <c r="I566" s="24"/>
      <c r="J566" s="24"/>
      <c r="K566" s="24"/>
      <c r="L566" s="58">
        <f>IF(K566&gt;=0,K566,0)</f>
        <v>0</v>
      </c>
      <c r="M566" s="58">
        <f>IF(K566&lt;=0,K566,0)</f>
        <v>0</v>
      </c>
      <c r="N566" s="58">
        <f>L566+-M566</f>
        <v>0</v>
      </c>
      <c r="O566" s="19"/>
      <c r="P566" s="19">
        <f t="shared" si="21"/>
        <v>0</v>
      </c>
      <c r="Q566" s="19">
        <f t="shared" si="20"/>
        <v>0</v>
      </c>
    </row>
    <row r="567" spans="2:17" x14ac:dyDescent="0.2">
      <c r="B567" s="21"/>
      <c r="C567" s="22"/>
      <c r="D567" s="23"/>
      <c r="E567" s="24"/>
      <c r="F567" s="24"/>
      <c r="G567" s="24"/>
      <c r="H567" s="24"/>
      <c r="I567" s="24"/>
      <c r="J567" s="24"/>
      <c r="K567" s="24"/>
      <c r="L567" s="58">
        <f>IF(K567&gt;=0,K567,0)</f>
        <v>0</v>
      </c>
      <c r="M567" s="58">
        <f>IF(K567&lt;=0,K567,0)</f>
        <v>0</v>
      </c>
      <c r="N567" s="58">
        <f>L567+-M567</f>
        <v>0</v>
      </c>
      <c r="O567" s="19"/>
      <c r="P567" s="19">
        <f t="shared" si="21"/>
        <v>0</v>
      </c>
      <c r="Q567" s="19">
        <f t="shared" si="20"/>
        <v>0</v>
      </c>
    </row>
    <row r="568" spans="2:17" x14ac:dyDescent="0.2">
      <c r="B568" s="21"/>
      <c r="C568" s="22"/>
      <c r="D568" s="23"/>
      <c r="E568" s="24"/>
      <c r="F568" s="24"/>
      <c r="G568" s="24"/>
      <c r="H568" s="24"/>
      <c r="I568" s="24"/>
      <c r="J568" s="24"/>
      <c r="K568" s="24"/>
      <c r="L568" s="58">
        <f>IF(K568&gt;=0,K568,0)</f>
        <v>0</v>
      </c>
      <c r="M568" s="58">
        <f>IF(K568&lt;=0,K568,0)</f>
        <v>0</v>
      </c>
      <c r="N568" s="58">
        <f>L568+-M568</f>
        <v>0</v>
      </c>
      <c r="O568" s="19"/>
      <c r="P568" s="19">
        <f t="shared" si="21"/>
        <v>0</v>
      </c>
      <c r="Q568" s="19">
        <f t="shared" si="20"/>
        <v>0</v>
      </c>
    </row>
    <row r="569" spans="2:17" x14ac:dyDescent="0.2">
      <c r="B569" s="21"/>
      <c r="C569" s="22"/>
      <c r="D569" s="23"/>
      <c r="E569" s="24"/>
      <c r="F569" s="24"/>
      <c r="G569" s="24"/>
      <c r="H569" s="24"/>
      <c r="I569" s="24"/>
      <c r="J569" s="24"/>
      <c r="K569" s="24"/>
      <c r="L569" s="58">
        <f>IF(K569&gt;=0,K569,0)</f>
        <v>0</v>
      </c>
      <c r="M569" s="58">
        <f>IF(K569&lt;=0,K569,0)</f>
        <v>0</v>
      </c>
      <c r="N569" s="58">
        <f>L569+-M569</f>
        <v>0</v>
      </c>
      <c r="O569" s="19"/>
      <c r="P569" s="19">
        <f t="shared" si="21"/>
        <v>0</v>
      </c>
      <c r="Q569" s="19">
        <f t="shared" si="20"/>
        <v>0</v>
      </c>
    </row>
    <row r="570" spans="2:17" x14ac:dyDescent="0.2">
      <c r="B570" s="21"/>
      <c r="C570" s="22"/>
      <c r="D570" s="23"/>
      <c r="E570" s="24"/>
      <c r="F570" s="24"/>
      <c r="G570" s="24"/>
      <c r="H570" s="24"/>
      <c r="I570" s="24"/>
      <c r="J570" s="24"/>
      <c r="K570" s="24"/>
      <c r="L570" s="58">
        <f>IF(K570&gt;=0,K570,0)</f>
        <v>0</v>
      </c>
      <c r="M570" s="58">
        <f>IF(K570&lt;=0,K570,0)</f>
        <v>0</v>
      </c>
      <c r="N570" s="58">
        <f>L570+-M570</f>
        <v>0</v>
      </c>
      <c r="O570" s="19"/>
      <c r="P570" s="19">
        <f t="shared" si="21"/>
        <v>0</v>
      </c>
      <c r="Q570" s="19">
        <f t="shared" si="20"/>
        <v>0</v>
      </c>
    </row>
    <row r="571" spans="2:17" x14ac:dyDescent="0.2">
      <c r="B571" s="21"/>
      <c r="C571" s="22"/>
      <c r="D571" s="23"/>
      <c r="E571" s="24"/>
      <c r="F571" s="24"/>
      <c r="G571" s="24"/>
      <c r="H571" s="24"/>
      <c r="I571" s="24"/>
      <c r="J571" s="24"/>
      <c r="K571" s="24"/>
      <c r="L571" s="58">
        <f>IF(K571&gt;=0,K571,0)</f>
        <v>0</v>
      </c>
      <c r="M571" s="58">
        <f>IF(K571&lt;=0,K571,0)</f>
        <v>0</v>
      </c>
      <c r="N571" s="58">
        <f>L571+-M571</f>
        <v>0</v>
      </c>
      <c r="O571" s="19"/>
      <c r="P571" s="19">
        <f t="shared" si="21"/>
        <v>0</v>
      </c>
      <c r="Q571" s="19">
        <f t="shared" si="20"/>
        <v>0</v>
      </c>
    </row>
    <row r="572" spans="2:17" x14ac:dyDescent="0.2">
      <c r="B572" s="21"/>
      <c r="C572" s="22"/>
      <c r="D572" s="23"/>
      <c r="E572" s="24"/>
      <c r="F572" s="24"/>
      <c r="G572" s="24"/>
      <c r="H572" s="24"/>
      <c r="I572" s="24"/>
      <c r="J572" s="24"/>
      <c r="K572" s="24"/>
      <c r="L572" s="58">
        <f>IF(K572&gt;=0,K572,0)</f>
        <v>0</v>
      </c>
      <c r="M572" s="58">
        <f>IF(K572&lt;=0,K572,0)</f>
        <v>0</v>
      </c>
      <c r="N572" s="58">
        <f>L572+-M572</f>
        <v>0</v>
      </c>
      <c r="O572" s="19"/>
      <c r="P572" s="19">
        <f t="shared" si="21"/>
        <v>0</v>
      </c>
      <c r="Q572" s="19">
        <f t="shared" ref="Q572:Q635" si="22">P572+Q571</f>
        <v>0</v>
      </c>
    </row>
    <row r="573" spans="2:17" x14ac:dyDescent="0.2">
      <c r="B573" s="21"/>
      <c r="C573" s="22"/>
      <c r="D573" s="23"/>
      <c r="E573" s="24"/>
      <c r="F573" s="24"/>
      <c r="G573" s="24"/>
      <c r="H573" s="24"/>
      <c r="I573" s="24"/>
      <c r="J573" s="24"/>
      <c r="K573" s="24"/>
      <c r="L573" s="58">
        <f>IF(K573&gt;=0,K573,0)</f>
        <v>0</v>
      </c>
      <c r="M573" s="58">
        <f>IF(K573&lt;=0,K573,0)</f>
        <v>0</v>
      </c>
      <c r="N573" s="58">
        <f>L573+-M573</f>
        <v>0</v>
      </c>
      <c r="O573" s="19"/>
      <c r="P573" s="19">
        <f t="shared" si="21"/>
        <v>0</v>
      </c>
      <c r="Q573" s="19">
        <f t="shared" si="22"/>
        <v>0</v>
      </c>
    </row>
    <row r="574" spans="2:17" x14ac:dyDescent="0.2">
      <c r="B574" s="21"/>
      <c r="C574" s="22"/>
      <c r="D574" s="23"/>
      <c r="E574" s="24"/>
      <c r="F574" s="24"/>
      <c r="G574" s="24"/>
      <c r="H574" s="24"/>
      <c r="I574" s="24"/>
      <c r="J574" s="24"/>
      <c r="K574" s="24"/>
      <c r="L574" s="58">
        <f>IF(K574&gt;=0,K574,0)</f>
        <v>0</v>
      </c>
      <c r="M574" s="58">
        <f>IF(K574&lt;=0,K574,0)</f>
        <v>0</v>
      </c>
      <c r="N574" s="58">
        <f>L574+-M574</f>
        <v>0</v>
      </c>
      <c r="O574" s="19"/>
      <c r="P574" s="19">
        <f t="shared" si="21"/>
        <v>0</v>
      </c>
      <c r="Q574" s="19">
        <f t="shared" si="22"/>
        <v>0</v>
      </c>
    </row>
    <row r="575" spans="2:17" x14ac:dyDescent="0.2">
      <c r="B575" s="21"/>
      <c r="C575" s="22"/>
      <c r="D575" s="23"/>
      <c r="E575" s="24"/>
      <c r="F575" s="24"/>
      <c r="G575" s="24"/>
      <c r="H575" s="24"/>
      <c r="I575" s="24"/>
      <c r="J575" s="24"/>
      <c r="K575" s="24"/>
      <c r="L575" s="58">
        <f>IF(K575&gt;=0,K575,0)</f>
        <v>0</v>
      </c>
      <c r="M575" s="58">
        <f>IF(K575&lt;=0,K575,0)</f>
        <v>0</v>
      </c>
      <c r="N575" s="58">
        <f>L575+-M575</f>
        <v>0</v>
      </c>
      <c r="O575" s="19"/>
      <c r="P575" s="19">
        <f t="shared" si="21"/>
        <v>0</v>
      </c>
      <c r="Q575" s="19">
        <f t="shared" si="22"/>
        <v>0</v>
      </c>
    </row>
    <row r="576" spans="2:17" x14ac:dyDescent="0.2">
      <c r="B576" s="21"/>
      <c r="C576" s="22"/>
      <c r="D576" s="23"/>
      <c r="E576" s="24"/>
      <c r="F576" s="24"/>
      <c r="G576" s="24"/>
      <c r="H576" s="24"/>
      <c r="I576" s="24"/>
      <c r="J576" s="24"/>
      <c r="K576" s="24"/>
      <c r="L576" s="58">
        <f>IF(K576&gt;=0,K576,0)</f>
        <v>0</v>
      </c>
      <c r="M576" s="58">
        <f>IF(K576&lt;=0,K576,0)</f>
        <v>0</v>
      </c>
      <c r="N576" s="58">
        <f>L576+-M576</f>
        <v>0</v>
      </c>
      <c r="O576" s="19"/>
      <c r="P576" s="19">
        <f t="shared" si="21"/>
        <v>0</v>
      </c>
      <c r="Q576" s="19">
        <f t="shared" si="22"/>
        <v>0</v>
      </c>
    </row>
    <row r="577" spans="2:17" x14ac:dyDescent="0.2">
      <c r="B577" s="21"/>
      <c r="C577" s="22"/>
      <c r="D577" s="23"/>
      <c r="E577" s="24"/>
      <c r="F577" s="24"/>
      <c r="G577" s="24"/>
      <c r="H577" s="24"/>
      <c r="I577" s="24"/>
      <c r="J577" s="24"/>
      <c r="K577" s="24"/>
      <c r="L577" s="58">
        <f>IF(K577&gt;=0,K577,0)</f>
        <v>0</v>
      </c>
      <c r="M577" s="58">
        <f>IF(K577&lt;=0,K577,0)</f>
        <v>0</v>
      </c>
      <c r="N577" s="58">
        <f>L577+-M577</f>
        <v>0</v>
      </c>
      <c r="O577" s="19"/>
      <c r="P577" s="19">
        <f t="shared" si="21"/>
        <v>0</v>
      </c>
      <c r="Q577" s="19">
        <f t="shared" si="22"/>
        <v>0</v>
      </c>
    </row>
    <row r="578" spans="2:17" x14ac:dyDescent="0.2">
      <c r="B578" s="21"/>
      <c r="C578" s="22"/>
      <c r="D578" s="23"/>
      <c r="E578" s="24"/>
      <c r="F578" s="24"/>
      <c r="G578" s="24"/>
      <c r="H578" s="24"/>
      <c r="I578" s="24"/>
      <c r="J578" s="24"/>
      <c r="K578" s="24"/>
      <c r="L578" s="58">
        <f>IF(K578&gt;=0,K578,0)</f>
        <v>0</v>
      </c>
      <c r="M578" s="58">
        <f>IF(K578&lt;=0,K578,0)</f>
        <v>0</v>
      </c>
      <c r="N578" s="58">
        <f>L578+-M578</f>
        <v>0</v>
      </c>
      <c r="O578" s="19"/>
      <c r="P578" s="19">
        <f t="shared" si="21"/>
        <v>0</v>
      </c>
      <c r="Q578" s="19">
        <f t="shared" si="22"/>
        <v>0</v>
      </c>
    </row>
    <row r="579" spans="2:17" x14ac:dyDescent="0.2">
      <c r="B579" s="21"/>
      <c r="C579" s="22"/>
      <c r="D579" s="23"/>
      <c r="E579" s="24"/>
      <c r="F579" s="24"/>
      <c r="G579" s="24"/>
      <c r="H579" s="24"/>
      <c r="I579" s="24"/>
      <c r="J579" s="24"/>
      <c r="K579" s="24"/>
      <c r="L579" s="58">
        <f>IF(K579&gt;=0,K579,0)</f>
        <v>0</v>
      </c>
      <c r="M579" s="58">
        <f>IF(K579&lt;=0,K579,0)</f>
        <v>0</v>
      </c>
      <c r="N579" s="58">
        <f>L579+-M579</f>
        <v>0</v>
      </c>
      <c r="O579" s="19"/>
      <c r="P579" s="19">
        <f t="shared" si="21"/>
        <v>0</v>
      </c>
      <c r="Q579" s="19">
        <f t="shared" si="22"/>
        <v>0</v>
      </c>
    </row>
    <row r="580" spans="2:17" x14ac:dyDescent="0.2">
      <c r="B580" s="21"/>
      <c r="C580" s="22"/>
      <c r="D580" s="23"/>
      <c r="E580" s="24"/>
      <c r="F580" s="24"/>
      <c r="G580" s="24"/>
      <c r="H580" s="24"/>
      <c r="I580" s="24"/>
      <c r="J580" s="24"/>
      <c r="K580" s="24"/>
      <c r="L580" s="58">
        <f>IF(K580&gt;=0,K580,0)</f>
        <v>0</v>
      </c>
      <c r="M580" s="58">
        <f>IF(K580&lt;=0,K580,0)</f>
        <v>0</v>
      </c>
      <c r="N580" s="58">
        <f>L580+-M580</f>
        <v>0</v>
      </c>
      <c r="O580" s="19"/>
      <c r="P580" s="19">
        <f t="shared" si="21"/>
        <v>0</v>
      </c>
      <c r="Q580" s="19">
        <f t="shared" si="22"/>
        <v>0</v>
      </c>
    </row>
    <row r="581" spans="2:17" x14ac:dyDescent="0.2">
      <c r="B581" s="21"/>
      <c r="C581" s="22"/>
      <c r="D581" s="23"/>
      <c r="E581" s="24"/>
      <c r="F581" s="24"/>
      <c r="G581" s="24"/>
      <c r="H581" s="24"/>
      <c r="I581" s="24"/>
      <c r="J581" s="24"/>
      <c r="K581" s="24"/>
      <c r="L581" s="58">
        <f>IF(K581&gt;=0,K581,0)</f>
        <v>0</v>
      </c>
      <c r="M581" s="58">
        <f>IF(K581&lt;=0,K581,0)</f>
        <v>0</v>
      </c>
      <c r="N581" s="58">
        <f>L581+-M581</f>
        <v>0</v>
      </c>
      <c r="O581" s="19"/>
      <c r="P581" s="19">
        <f t="shared" si="21"/>
        <v>0</v>
      </c>
      <c r="Q581" s="19">
        <f t="shared" si="22"/>
        <v>0</v>
      </c>
    </row>
    <row r="582" spans="2:17" x14ac:dyDescent="0.2">
      <c r="B582" s="21"/>
      <c r="C582" s="22"/>
      <c r="D582" s="23"/>
      <c r="E582" s="24"/>
      <c r="F582" s="24"/>
      <c r="G582" s="24"/>
      <c r="H582" s="24"/>
      <c r="I582" s="24"/>
      <c r="J582" s="24"/>
      <c r="K582" s="24"/>
      <c r="L582" s="58">
        <f>IF(K582&gt;=0,K582,0)</f>
        <v>0</v>
      </c>
      <c r="M582" s="58">
        <f>IF(K582&lt;=0,K582,0)</f>
        <v>0</v>
      </c>
      <c r="N582" s="58">
        <f>L582+-M582</f>
        <v>0</v>
      </c>
      <c r="O582" s="19"/>
      <c r="P582" s="19">
        <f t="shared" si="21"/>
        <v>0</v>
      </c>
      <c r="Q582" s="19">
        <f t="shared" si="22"/>
        <v>0</v>
      </c>
    </row>
    <row r="583" spans="2:17" x14ac:dyDescent="0.2">
      <c r="B583" s="21"/>
      <c r="C583" s="22"/>
      <c r="D583" s="23"/>
      <c r="E583" s="24"/>
      <c r="F583" s="24"/>
      <c r="G583" s="24"/>
      <c r="H583" s="24"/>
      <c r="I583" s="24"/>
      <c r="J583" s="24"/>
      <c r="K583" s="24"/>
      <c r="L583" s="58">
        <f>IF(K583&gt;=0,K583,0)</f>
        <v>0</v>
      </c>
      <c r="M583" s="58">
        <f>IF(K583&lt;=0,K583,0)</f>
        <v>0</v>
      </c>
      <c r="N583" s="58">
        <f>L583+-M583</f>
        <v>0</v>
      </c>
      <c r="O583" s="19"/>
      <c r="P583" s="19">
        <f t="shared" ref="P583:P646" si="23">N583/$N$1055</f>
        <v>0</v>
      </c>
      <c r="Q583" s="19">
        <f t="shared" si="22"/>
        <v>0</v>
      </c>
    </row>
    <row r="584" spans="2:17" x14ac:dyDescent="0.2">
      <c r="B584" s="21"/>
      <c r="C584" s="22"/>
      <c r="D584" s="23"/>
      <c r="E584" s="24"/>
      <c r="F584" s="24"/>
      <c r="G584" s="24"/>
      <c r="H584" s="24"/>
      <c r="I584" s="24"/>
      <c r="J584" s="24"/>
      <c r="K584" s="24"/>
      <c r="L584" s="58">
        <f>IF(K584&gt;=0,K584,0)</f>
        <v>0</v>
      </c>
      <c r="M584" s="58">
        <f>IF(K584&lt;=0,K584,0)</f>
        <v>0</v>
      </c>
      <c r="N584" s="58">
        <f>L584+-M584</f>
        <v>0</v>
      </c>
      <c r="O584" s="19"/>
      <c r="P584" s="19">
        <f t="shared" si="23"/>
        <v>0</v>
      </c>
      <c r="Q584" s="19">
        <f t="shared" si="22"/>
        <v>0</v>
      </c>
    </row>
    <row r="585" spans="2:17" x14ac:dyDescent="0.2">
      <c r="B585" s="21"/>
      <c r="C585" s="22"/>
      <c r="D585" s="23"/>
      <c r="E585" s="24"/>
      <c r="F585" s="24"/>
      <c r="G585" s="24"/>
      <c r="H585" s="24"/>
      <c r="I585" s="24"/>
      <c r="J585" s="24"/>
      <c r="K585" s="24"/>
      <c r="L585" s="58">
        <f>IF(K585&gt;=0,K585,0)</f>
        <v>0</v>
      </c>
      <c r="M585" s="58">
        <f>IF(K585&lt;=0,K585,0)</f>
        <v>0</v>
      </c>
      <c r="N585" s="58">
        <f>L585+-M585</f>
        <v>0</v>
      </c>
      <c r="O585" s="19"/>
      <c r="P585" s="19">
        <f t="shared" si="23"/>
        <v>0</v>
      </c>
      <c r="Q585" s="19">
        <f t="shared" si="22"/>
        <v>0</v>
      </c>
    </row>
    <row r="586" spans="2:17" x14ac:dyDescent="0.2">
      <c r="B586" s="21"/>
      <c r="C586" s="22"/>
      <c r="D586" s="23"/>
      <c r="E586" s="24"/>
      <c r="F586" s="24"/>
      <c r="G586" s="24"/>
      <c r="H586" s="24"/>
      <c r="I586" s="24"/>
      <c r="J586" s="24"/>
      <c r="K586" s="24"/>
      <c r="L586" s="58">
        <f>IF(K586&gt;=0,K586,0)</f>
        <v>0</v>
      </c>
      <c r="M586" s="58">
        <f>IF(K586&lt;=0,K586,0)</f>
        <v>0</v>
      </c>
      <c r="N586" s="58">
        <f>L586+-M586</f>
        <v>0</v>
      </c>
      <c r="O586" s="19"/>
      <c r="P586" s="19">
        <f t="shared" si="23"/>
        <v>0</v>
      </c>
      <c r="Q586" s="19">
        <f t="shared" si="22"/>
        <v>0</v>
      </c>
    </row>
    <row r="587" spans="2:17" x14ac:dyDescent="0.2">
      <c r="B587" s="21"/>
      <c r="C587" s="22"/>
      <c r="D587" s="23"/>
      <c r="E587" s="24"/>
      <c r="F587" s="24"/>
      <c r="G587" s="24"/>
      <c r="H587" s="24"/>
      <c r="I587" s="24"/>
      <c r="J587" s="24"/>
      <c r="K587" s="24"/>
      <c r="L587" s="58">
        <f>IF(K587&gt;=0,K587,0)</f>
        <v>0</v>
      </c>
      <c r="M587" s="58">
        <f>IF(K587&lt;=0,K587,0)</f>
        <v>0</v>
      </c>
      <c r="N587" s="58">
        <f>L587+-M587</f>
        <v>0</v>
      </c>
      <c r="O587" s="19"/>
      <c r="P587" s="19">
        <f t="shared" si="23"/>
        <v>0</v>
      </c>
      <c r="Q587" s="19">
        <f t="shared" si="22"/>
        <v>0</v>
      </c>
    </row>
    <row r="588" spans="2:17" x14ac:dyDescent="0.2">
      <c r="B588" s="21"/>
      <c r="C588" s="22"/>
      <c r="D588" s="23"/>
      <c r="E588" s="24"/>
      <c r="F588" s="24"/>
      <c r="G588" s="24"/>
      <c r="H588" s="24"/>
      <c r="I588" s="24"/>
      <c r="J588" s="24"/>
      <c r="K588" s="24"/>
      <c r="L588" s="58">
        <f>IF(K588&gt;=0,K588,0)</f>
        <v>0</v>
      </c>
      <c r="M588" s="58">
        <f>IF(K588&lt;=0,K588,0)</f>
        <v>0</v>
      </c>
      <c r="N588" s="58">
        <f>L588+-M588</f>
        <v>0</v>
      </c>
      <c r="O588" s="19"/>
      <c r="P588" s="19">
        <f t="shared" si="23"/>
        <v>0</v>
      </c>
      <c r="Q588" s="19">
        <f t="shared" si="22"/>
        <v>0</v>
      </c>
    </row>
    <row r="589" spans="2:17" x14ac:dyDescent="0.2">
      <c r="B589" s="21"/>
      <c r="C589" s="22"/>
      <c r="D589" s="23"/>
      <c r="E589" s="24"/>
      <c r="F589" s="24"/>
      <c r="G589" s="24"/>
      <c r="H589" s="24"/>
      <c r="I589" s="24"/>
      <c r="J589" s="24"/>
      <c r="K589" s="24"/>
      <c r="L589" s="58">
        <f>IF(K589&gt;=0,K589,0)</f>
        <v>0</v>
      </c>
      <c r="M589" s="58">
        <f>IF(K589&lt;=0,K589,0)</f>
        <v>0</v>
      </c>
      <c r="N589" s="58">
        <f>L589+-M589</f>
        <v>0</v>
      </c>
      <c r="O589" s="19"/>
      <c r="P589" s="19">
        <f t="shared" si="23"/>
        <v>0</v>
      </c>
      <c r="Q589" s="19">
        <f t="shared" si="22"/>
        <v>0</v>
      </c>
    </row>
    <row r="590" spans="2:17" x14ac:dyDescent="0.2">
      <c r="B590" s="21"/>
      <c r="C590" s="22"/>
      <c r="D590" s="23"/>
      <c r="E590" s="24"/>
      <c r="F590" s="24"/>
      <c r="G590" s="24"/>
      <c r="H590" s="24"/>
      <c r="I590" s="24"/>
      <c r="J590" s="24"/>
      <c r="K590" s="24"/>
      <c r="L590" s="58">
        <f>IF(K590&gt;=0,K590,0)</f>
        <v>0</v>
      </c>
      <c r="M590" s="58">
        <f>IF(K590&lt;=0,K590,0)</f>
        <v>0</v>
      </c>
      <c r="N590" s="58">
        <f>L590+-M590</f>
        <v>0</v>
      </c>
      <c r="O590" s="19"/>
      <c r="P590" s="19">
        <f t="shared" si="23"/>
        <v>0</v>
      </c>
      <c r="Q590" s="19">
        <f t="shared" si="22"/>
        <v>0</v>
      </c>
    </row>
    <row r="591" spans="2:17" x14ac:dyDescent="0.2">
      <c r="B591" s="21"/>
      <c r="C591" s="22"/>
      <c r="D591" s="23"/>
      <c r="E591" s="24"/>
      <c r="F591" s="24"/>
      <c r="G591" s="24"/>
      <c r="H591" s="24"/>
      <c r="I591" s="24"/>
      <c r="J591" s="24"/>
      <c r="K591" s="24"/>
      <c r="L591" s="58">
        <f>IF(K591&gt;=0,K591,0)</f>
        <v>0</v>
      </c>
      <c r="M591" s="58">
        <f>IF(K591&lt;=0,K591,0)</f>
        <v>0</v>
      </c>
      <c r="N591" s="58">
        <f>L591+-M591</f>
        <v>0</v>
      </c>
      <c r="O591" s="19"/>
      <c r="P591" s="19">
        <f t="shared" si="23"/>
        <v>0</v>
      </c>
      <c r="Q591" s="19">
        <f t="shared" si="22"/>
        <v>0</v>
      </c>
    </row>
    <row r="592" spans="2:17" x14ac:dyDescent="0.2">
      <c r="B592" s="21"/>
      <c r="C592" s="22"/>
      <c r="D592" s="23"/>
      <c r="E592" s="24"/>
      <c r="F592" s="24"/>
      <c r="G592" s="24"/>
      <c r="H592" s="24"/>
      <c r="I592" s="24"/>
      <c r="J592" s="24"/>
      <c r="K592" s="24"/>
      <c r="L592" s="58">
        <f>IF(K592&gt;=0,K592,0)</f>
        <v>0</v>
      </c>
      <c r="M592" s="58">
        <f>IF(K592&lt;=0,K592,0)</f>
        <v>0</v>
      </c>
      <c r="N592" s="58">
        <f>L592+-M592</f>
        <v>0</v>
      </c>
      <c r="O592" s="19"/>
      <c r="P592" s="19">
        <f t="shared" si="23"/>
        <v>0</v>
      </c>
      <c r="Q592" s="19">
        <f t="shared" si="22"/>
        <v>0</v>
      </c>
    </row>
    <row r="593" spans="2:17" x14ac:dyDescent="0.2">
      <c r="B593" s="21"/>
      <c r="C593" s="22"/>
      <c r="D593" s="23"/>
      <c r="E593" s="24"/>
      <c r="F593" s="24"/>
      <c r="G593" s="24"/>
      <c r="H593" s="24"/>
      <c r="I593" s="24"/>
      <c r="J593" s="24"/>
      <c r="K593" s="24"/>
      <c r="L593" s="58">
        <f>IF(K593&gt;=0,K593,0)</f>
        <v>0</v>
      </c>
      <c r="M593" s="58">
        <f>IF(K593&lt;=0,K593,0)</f>
        <v>0</v>
      </c>
      <c r="N593" s="58">
        <f>L593+-M593</f>
        <v>0</v>
      </c>
      <c r="O593" s="19"/>
      <c r="P593" s="19">
        <f t="shared" si="23"/>
        <v>0</v>
      </c>
      <c r="Q593" s="19">
        <f t="shared" si="22"/>
        <v>0</v>
      </c>
    </row>
    <row r="594" spans="2:17" x14ac:dyDescent="0.2">
      <c r="B594" s="21"/>
      <c r="C594" s="22"/>
      <c r="D594" s="23"/>
      <c r="E594" s="24"/>
      <c r="F594" s="24"/>
      <c r="G594" s="24"/>
      <c r="H594" s="24"/>
      <c r="I594" s="24"/>
      <c r="J594" s="24"/>
      <c r="K594" s="24"/>
      <c r="L594" s="58">
        <f>IF(K594&gt;=0,K594,0)</f>
        <v>0</v>
      </c>
      <c r="M594" s="58">
        <f>IF(K594&lt;=0,K594,0)</f>
        <v>0</v>
      </c>
      <c r="N594" s="58">
        <f>L594+-M594</f>
        <v>0</v>
      </c>
      <c r="O594" s="19"/>
      <c r="P594" s="19">
        <f t="shared" si="23"/>
        <v>0</v>
      </c>
      <c r="Q594" s="19">
        <f t="shared" si="22"/>
        <v>0</v>
      </c>
    </row>
    <row r="595" spans="2:17" x14ac:dyDescent="0.2">
      <c r="B595" s="21"/>
      <c r="C595" s="22"/>
      <c r="D595" s="23"/>
      <c r="E595" s="24"/>
      <c r="F595" s="24"/>
      <c r="G595" s="24"/>
      <c r="H595" s="24"/>
      <c r="I595" s="24"/>
      <c r="J595" s="24"/>
      <c r="K595" s="24"/>
      <c r="L595" s="58">
        <f>IF(K595&gt;=0,K595,0)</f>
        <v>0</v>
      </c>
      <c r="M595" s="58">
        <f>IF(K595&lt;=0,K595,0)</f>
        <v>0</v>
      </c>
      <c r="N595" s="58">
        <f>L595+-M595</f>
        <v>0</v>
      </c>
      <c r="O595" s="19"/>
      <c r="P595" s="19">
        <f t="shared" si="23"/>
        <v>0</v>
      </c>
      <c r="Q595" s="19">
        <f t="shared" si="22"/>
        <v>0</v>
      </c>
    </row>
    <row r="596" spans="2:17" x14ac:dyDescent="0.2">
      <c r="B596" s="21"/>
      <c r="C596" s="22"/>
      <c r="D596" s="23"/>
      <c r="E596" s="24"/>
      <c r="F596" s="24"/>
      <c r="G596" s="24"/>
      <c r="H596" s="24"/>
      <c r="I596" s="24"/>
      <c r="J596" s="24"/>
      <c r="K596" s="24"/>
      <c r="L596" s="58">
        <f>IF(K596&gt;=0,K596,0)</f>
        <v>0</v>
      </c>
      <c r="M596" s="58">
        <f>IF(K596&lt;=0,K596,0)</f>
        <v>0</v>
      </c>
      <c r="N596" s="58">
        <f>L596+-M596</f>
        <v>0</v>
      </c>
      <c r="O596" s="19"/>
      <c r="P596" s="19">
        <f t="shared" si="23"/>
        <v>0</v>
      </c>
      <c r="Q596" s="19">
        <f t="shared" si="22"/>
        <v>0</v>
      </c>
    </row>
    <row r="597" spans="2:17" x14ac:dyDescent="0.2">
      <c r="B597" s="21"/>
      <c r="C597" s="22"/>
      <c r="D597" s="23"/>
      <c r="E597" s="24"/>
      <c r="F597" s="24"/>
      <c r="G597" s="24"/>
      <c r="H597" s="24"/>
      <c r="I597" s="24"/>
      <c r="J597" s="24"/>
      <c r="K597" s="24"/>
      <c r="L597" s="58">
        <f>IF(K597&gt;=0,K597,0)</f>
        <v>0</v>
      </c>
      <c r="M597" s="58">
        <f>IF(K597&lt;=0,K597,0)</f>
        <v>0</v>
      </c>
      <c r="N597" s="58">
        <f>L597+-M597</f>
        <v>0</v>
      </c>
      <c r="O597" s="19"/>
      <c r="P597" s="19">
        <f t="shared" si="23"/>
        <v>0</v>
      </c>
      <c r="Q597" s="19">
        <f t="shared" si="22"/>
        <v>0</v>
      </c>
    </row>
    <row r="598" spans="2:17" x14ac:dyDescent="0.2">
      <c r="B598" s="21"/>
      <c r="C598" s="22"/>
      <c r="D598" s="23"/>
      <c r="E598" s="24"/>
      <c r="F598" s="24"/>
      <c r="G598" s="24"/>
      <c r="H598" s="24"/>
      <c r="I598" s="24"/>
      <c r="J598" s="24"/>
      <c r="K598" s="24"/>
      <c r="L598" s="58">
        <f>IF(K598&gt;=0,K598,0)</f>
        <v>0</v>
      </c>
      <c r="M598" s="58">
        <f>IF(K598&lt;=0,K598,0)</f>
        <v>0</v>
      </c>
      <c r="N598" s="58">
        <f>L598+-M598</f>
        <v>0</v>
      </c>
      <c r="O598" s="19"/>
      <c r="P598" s="19">
        <f t="shared" si="23"/>
        <v>0</v>
      </c>
      <c r="Q598" s="19">
        <f t="shared" si="22"/>
        <v>0</v>
      </c>
    </row>
    <row r="599" spans="2:17" x14ac:dyDescent="0.2">
      <c r="B599" s="21"/>
      <c r="C599" s="22"/>
      <c r="D599" s="23"/>
      <c r="E599" s="24"/>
      <c r="F599" s="24"/>
      <c r="G599" s="24"/>
      <c r="H599" s="24"/>
      <c r="I599" s="24"/>
      <c r="J599" s="24"/>
      <c r="K599" s="24"/>
      <c r="L599" s="58">
        <f>IF(K599&gt;=0,K599,0)</f>
        <v>0</v>
      </c>
      <c r="M599" s="58">
        <f>IF(K599&lt;=0,K599,0)</f>
        <v>0</v>
      </c>
      <c r="N599" s="58">
        <f>L599+-M599</f>
        <v>0</v>
      </c>
      <c r="O599" s="19"/>
      <c r="P599" s="19">
        <f t="shared" si="23"/>
        <v>0</v>
      </c>
      <c r="Q599" s="19">
        <f t="shared" si="22"/>
        <v>0</v>
      </c>
    </row>
    <row r="600" spans="2:17" x14ac:dyDescent="0.2">
      <c r="B600" s="21"/>
      <c r="C600" s="22"/>
      <c r="D600" s="23"/>
      <c r="E600" s="24"/>
      <c r="F600" s="24"/>
      <c r="G600" s="24"/>
      <c r="H600" s="24"/>
      <c r="I600" s="24"/>
      <c r="J600" s="24"/>
      <c r="K600" s="24"/>
      <c r="L600" s="58">
        <f>IF(K600&gt;=0,K600,0)</f>
        <v>0</v>
      </c>
      <c r="M600" s="58">
        <f>IF(K600&lt;=0,K600,0)</f>
        <v>0</v>
      </c>
      <c r="N600" s="58">
        <f>L600+-M600</f>
        <v>0</v>
      </c>
      <c r="O600" s="19"/>
      <c r="P600" s="19">
        <f t="shared" si="23"/>
        <v>0</v>
      </c>
      <c r="Q600" s="19">
        <f t="shared" si="22"/>
        <v>0</v>
      </c>
    </row>
    <row r="601" spans="2:17" x14ac:dyDescent="0.2">
      <c r="B601" s="21"/>
      <c r="C601" s="22"/>
      <c r="D601" s="23"/>
      <c r="E601" s="24"/>
      <c r="F601" s="24"/>
      <c r="G601" s="24"/>
      <c r="H601" s="24"/>
      <c r="I601" s="24"/>
      <c r="J601" s="24"/>
      <c r="K601" s="24"/>
      <c r="L601" s="58">
        <f>IF(K601&gt;=0,K601,0)</f>
        <v>0</v>
      </c>
      <c r="M601" s="58">
        <f>IF(K601&lt;=0,K601,0)</f>
        <v>0</v>
      </c>
      <c r="N601" s="58">
        <f>L601+-M601</f>
        <v>0</v>
      </c>
      <c r="O601" s="19"/>
      <c r="P601" s="19">
        <f t="shared" si="23"/>
        <v>0</v>
      </c>
      <c r="Q601" s="19">
        <f t="shared" si="22"/>
        <v>0</v>
      </c>
    </row>
    <row r="602" spans="2:17" x14ac:dyDescent="0.2">
      <c r="B602" s="21"/>
      <c r="C602" s="22"/>
      <c r="D602" s="23"/>
      <c r="E602" s="24"/>
      <c r="F602" s="24"/>
      <c r="G602" s="24"/>
      <c r="H602" s="24"/>
      <c r="I602" s="24"/>
      <c r="J602" s="24"/>
      <c r="K602" s="24"/>
      <c r="L602" s="58">
        <f>IF(K602&gt;=0,K602,0)</f>
        <v>0</v>
      </c>
      <c r="M602" s="58">
        <f>IF(K602&lt;=0,K602,0)</f>
        <v>0</v>
      </c>
      <c r="N602" s="58">
        <f>L602+-M602</f>
        <v>0</v>
      </c>
      <c r="O602" s="19"/>
      <c r="P602" s="19">
        <f t="shared" si="23"/>
        <v>0</v>
      </c>
      <c r="Q602" s="19">
        <f t="shared" si="22"/>
        <v>0</v>
      </c>
    </row>
    <row r="603" spans="2:17" x14ac:dyDescent="0.2">
      <c r="B603" s="21"/>
      <c r="C603" s="22"/>
      <c r="D603" s="23"/>
      <c r="E603" s="24"/>
      <c r="F603" s="24"/>
      <c r="G603" s="24"/>
      <c r="H603" s="24"/>
      <c r="I603" s="24"/>
      <c r="J603" s="24"/>
      <c r="K603" s="24"/>
      <c r="L603" s="58">
        <f>IF(K603&gt;=0,K603,0)</f>
        <v>0</v>
      </c>
      <c r="M603" s="58">
        <f>IF(K603&lt;=0,K603,0)</f>
        <v>0</v>
      </c>
      <c r="N603" s="58">
        <f>L603+-M603</f>
        <v>0</v>
      </c>
      <c r="O603" s="19"/>
      <c r="P603" s="19">
        <f t="shared" si="23"/>
        <v>0</v>
      </c>
      <c r="Q603" s="19">
        <f t="shared" si="22"/>
        <v>0</v>
      </c>
    </row>
    <row r="604" spans="2:17" x14ac:dyDescent="0.2">
      <c r="B604" s="21"/>
      <c r="C604" s="22"/>
      <c r="D604" s="23"/>
      <c r="E604" s="24"/>
      <c r="F604" s="24"/>
      <c r="G604" s="24"/>
      <c r="H604" s="24"/>
      <c r="I604" s="24"/>
      <c r="J604" s="24"/>
      <c r="K604" s="24"/>
      <c r="L604" s="58">
        <f>IF(K604&gt;=0,K604,0)</f>
        <v>0</v>
      </c>
      <c r="M604" s="58">
        <f>IF(K604&lt;=0,K604,0)</f>
        <v>0</v>
      </c>
      <c r="N604" s="58">
        <f>L604+-M604</f>
        <v>0</v>
      </c>
      <c r="O604" s="19"/>
      <c r="P604" s="19">
        <f t="shared" si="23"/>
        <v>0</v>
      </c>
      <c r="Q604" s="19">
        <f t="shared" si="22"/>
        <v>0</v>
      </c>
    </row>
    <row r="605" spans="2:17" x14ac:dyDescent="0.2">
      <c r="B605" s="21"/>
      <c r="C605" s="22"/>
      <c r="D605" s="23"/>
      <c r="E605" s="24"/>
      <c r="F605" s="24"/>
      <c r="G605" s="24"/>
      <c r="H605" s="24"/>
      <c r="I605" s="24"/>
      <c r="J605" s="24"/>
      <c r="K605" s="24"/>
      <c r="L605" s="58">
        <f>IF(K605&gt;=0,K605,0)</f>
        <v>0</v>
      </c>
      <c r="M605" s="58">
        <f>IF(K605&lt;=0,K605,0)</f>
        <v>0</v>
      </c>
      <c r="N605" s="58">
        <f>L605+-M605</f>
        <v>0</v>
      </c>
      <c r="O605" s="19"/>
      <c r="P605" s="19">
        <f t="shared" si="23"/>
        <v>0</v>
      </c>
      <c r="Q605" s="19">
        <f t="shared" si="22"/>
        <v>0</v>
      </c>
    </row>
    <row r="606" spans="2:17" x14ac:dyDescent="0.2">
      <c r="B606" s="21"/>
      <c r="C606" s="22"/>
      <c r="D606" s="23"/>
      <c r="E606" s="24"/>
      <c r="F606" s="24"/>
      <c r="G606" s="24"/>
      <c r="H606" s="24"/>
      <c r="I606" s="24"/>
      <c r="J606" s="24"/>
      <c r="K606" s="24"/>
      <c r="L606" s="58">
        <f>IF(K606&gt;=0,K606,0)</f>
        <v>0</v>
      </c>
      <c r="M606" s="58">
        <f>IF(K606&lt;=0,K606,0)</f>
        <v>0</v>
      </c>
      <c r="N606" s="58">
        <f>L606+-M606</f>
        <v>0</v>
      </c>
      <c r="O606" s="19"/>
      <c r="P606" s="19">
        <f t="shared" si="23"/>
        <v>0</v>
      </c>
      <c r="Q606" s="19">
        <f t="shared" si="22"/>
        <v>0</v>
      </c>
    </row>
    <row r="607" spans="2:17" x14ac:dyDescent="0.2">
      <c r="B607" s="21"/>
      <c r="C607" s="22"/>
      <c r="D607" s="23"/>
      <c r="E607" s="24"/>
      <c r="F607" s="24"/>
      <c r="G607" s="24"/>
      <c r="H607" s="24"/>
      <c r="I607" s="24"/>
      <c r="J607" s="24"/>
      <c r="K607" s="24"/>
      <c r="L607" s="58">
        <f>IF(K607&gt;=0,K607,0)</f>
        <v>0</v>
      </c>
      <c r="M607" s="58">
        <f>IF(K607&lt;=0,K607,0)</f>
        <v>0</v>
      </c>
      <c r="N607" s="58">
        <f>L607+-M607</f>
        <v>0</v>
      </c>
      <c r="O607" s="19"/>
      <c r="P607" s="19">
        <f t="shared" si="23"/>
        <v>0</v>
      </c>
      <c r="Q607" s="19">
        <f t="shared" si="22"/>
        <v>0</v>
      </c>
    </row>
    <row r="608" spans="2:17" x14ac:dyDescent="0.2">
      <c r="B608" s="21"/>
      <c r="C608" s="22"/>
      <c r="D608" s="23"/>
      <c r="E608" s="24"/>
      <c r="F608" s="24"/>
      <c r="G608" s="24"/>
      <c r="H608" s="24"/>
      <c r="I608" s="24"/>
      <c r="J608" s="24"/>
      <c r="K608" s="24"/>
      <c r="L608" s="58">
        <f>IF(K608&gt;=0,K608,0)</f>
        <v>0</v>
      </c>
      <c r="M608" s="58">
        <f>IF(K608&lt;=0,K608,0)</f>
        <v>0</v>
      </c>
      <c r="N608" s="58">
        <f>L608+-M608</f>
        <v>0</v>
      </c>
      <c r="O608" s="19"/>
      <c r="P608" s="19">
        <f t="shared" si="23"/>
        <v>0</v>
      </c>
      <c r="Q608" s="19">
        <f t="shared" si="22"/>
        <v>0</v>
      </c>
    </row>
    <row r="609" spans="2:17" x14ac:dyDescent="0.2">
      <c r="B609" s="21"/>
      <c r="C609" s="22"/>
      <c r="D609" s="23"/>
      <c r="E609" s="24"/>
      <c r="F609" s="24"/>
      <c r="G609" s="24"/>
      <c r="H609" s="24"/>
      <c r="I609" s="24"/>
      <c r="J609" s="24"/>
      <c r="K609" s="24"/>
      <c r="L609" s="58">
        <f>IF(K609&gt;=0,K609,0)</f>
        <v>0</v>
      </c>
      <c r="M609" s="58">
        <f>IF(K609&lt;=0,K609,0)</f>
        <v>0</v>
      </c>
      <c r="N609" s="58">
        <f>L609+-M609</f>
        <v>0</v>
      </c>
      <c r="O609" s="19"/>
      <c r="P609" s="19">
        <f t="shared" si="23"/>
        <v>0</v>
      </c>
      <c r="Q609" s="19">
        <f t="shared" si="22"/>
        <v>0</v>
      </c>
    </row>
    <row r="610" spans="2:17" x14ac:dyDescent="0.2">
      <c r="B610" s="21"/>
      <c r="C610" s="22"/>
      <c r="D610" s="23"/>
      <c r="E610" s="24"/>
      <c r="F610" s="24"/>
      <c r="G610" s="24"/>
      <c r="H610" s="24"/>
      <c r="I610" s="24"/>
      <c r="J610" s="24"/>
      <c r="K610" s="24"/>
      <c r="L610" s="58">
        <f>IF(K610&gt;=0,K610,0)</f>
        <v>0</v>
      </c>
      <c r="M610" s="58">
        <f>IF(K610&lt;=0,K610,0)</f>
        <v>0</v>
      </c>
      <c r="N610" s="58">
        <f>L610+-M610</f>
        <v>0</v>
      </c>
      <c r="O610" s="19"/>
      <c r="P610" s="19">
        <f t="shared" si="23"/>
        <v>0</v>
      </c>
      <c r="Q610" s="19">
        <f t="shared" si="22"/>
        <v>0</v>
      </c>
    </row>
    <row r="611" spans="2:17" x14ac:dyDescent="0.2">
      <c r="B611" s="21"/>
      <c r="C611" s="22"/>
      <c r="D611" s="23"/>
      <c r="E611" s="24"/>
      <c r="F611" s="24"/>
      <c r="G611" s="24"/>
      <c r="H611" s="24"/>
      <c r="I611" s="24"/>
      <c r="J611" s="24"/>
      <c r="K611" s="24"/>
      <c r="L611" s="58">
        <f>IF(K611&gt;=0,K611,0)</f>
        <v>0</v>
      </c>
      <c r="M611" s="58">
        <f>IF(K611&lt;=0,K611,0)</f>
        <v>0</v>
      </c>
      <c r="N611" s="58">
        <f>L611+-M611</f>
        <v>0</v>
      </c>
      <c r="O611" s="19"/>
      <c r="P611" s="19">
        <f t="shared" si="23"/>
        <v>0</v>
      </c>
      <c r="Q611" s="19">
        <f t="shared" si="22"/>
        <v>0</v>
      </c>
    </row>
    <row r="612" spans="2:17" x14ac:dyDescent="0.2">
      <c r="B612" s="21"/>
      <c r="C612" s="22"/>
      <c r="D612" s="23"/>
      <c r="E612" s="24"/>
      <c r="F612" s="24"/>
      <c r="G612" s="24"/>
      <c r="H612" s="24"/>
      <c r="I612" s="24"/>
      <c r="J612" s="24"/>
      <c r="K612" s="24"/>
      <c r="L612" s="58">
        <f>IF(K612&gt;=0,K612,0)</f>
        <v>0</v>
      </c>
      <c r="M612" s="58">
        <f>IF(K612&lt;=0,K612,0)</f>
        <v>0</v>
      </c>
      <c r="N612" s="58">
        <f>L612+-M612</f>
        <v>0</v>
      </c>
      <c r="O612" s="19"/>
      <c r="P612" s="19">
        <f t="shared" si="23"/>
        <v>0</v>
      </c>
      <c r="Q612" s="19">
        <f t="shared" si="22"/>
        <v>0</v>
      </c>
    </row>
    <row r="613" spans="2:17" x14ac:dyDescent="0.2">
      <c r="B613" s="21"/>
      <c r="C613" s="22"/>
      <c r="D613" s="23"/>
      <c r="E613" s="24"/>
      <c r="F613" s="24"/>
      <c r="G613" s="24"/>
      <c r="H613" s="24"/>
      <c r="I613" s="24"/>
      <c r="J613" s="24"/>
      <c r="K613" s="24"/>
      <c r="L613" s="58">
        <f>IF(K613&gt;=0,K613,0)</f>
        <v>0</v>
      </c>
      <c r="M613" s="58">
        <f>IF(K613&lt;=0,K613,0)</f>
        <v>0</v>
      </c>
      <c r="N613" s="58">
        <f>L613+-M613</f>
        <v>0</v>
      </c>
      <c r="O613" s="19"/>
      <c r="P613" s="19">
        <f t="shared" si="23"/>
        <v>0</v>
      </c>
      <c r="Q613" s="19">
        <f t="shared" si="22"/>
        <v>0</v>
      </c>
    </row>
    <row r="614" spans="2:17" x14ac:dyDescent="0.2">
      <c r="B614" s="21"/>
      <c r="C614" s="22"/>
      <c r="D614" s="23"/>
      <c r="E614" s="24"/>
      <c r="F614" s="24"/>
      <c r="G614" s="24"/>
      <c r="H614" s="24"/>
      <c r="I614" s="24"/>
      <c r="J614" s="24"/>
      <c r="K614" s="24"/>
      <c r="L614" s="58">
        <f>IF(K614&gt;=0,K614,0)</f>
        <v>0</v>
      </c>
      <c r="M614" s="58">
        <f>IF(K614&lt;=0,K614,0)</f>
        <v>0</v>
      </c>
      <c r="N614" s="58">
        <f>L614+-M614</f>
        <v>0</v>
      </c>
      <c r="O614" s="19"/>
      <c r="P614" s="19">
        <f t="shared" si="23"/>
        <v>0</v>
      </c>
      <c r="Q614" s="19">
        <f t="shared" si="22"/>
        <v>0</v>
      </c>
    </row>
    <row r="615" spans="2:17" x14ac:dyDescent="0.2">
      <c r="B615" s="21"/>
      <c r="C615" s="22"/>
      <c r="D615" s="23"/>
      <c r="E615" s="24"/>
      <c r="F615" s="24"/>
      <c r="G615" s="24"/>
      <c r="H615" s="24"/>
      <c r="I615" s="24"/>
      <c r="J615" s="24"/>
      <c r="K615" s="24"/>
      <c r="L615" s="58">
        <f>IF(K615&gt;=0,K615,0)</f>
        <v>0</v>
      </c>
      <c r="M615" s="58">
        <f>IF(K615&lt;=0,K615,0)</f>
        <v>0</v>
      </c>
      <c r="N615" s="58">
        <f>L615+-M615</f>
        <v>0</v>
      </c>
      <c r="O615" s="19"/>
      <c r="P615" s="19">
        <f t="shared" si="23"/>
        <v>0</v>
      </c>
      <c r="Q615" s="19">
        <f t="shared" si="22"/>
        <v>0</v>
      </c>
    </row>
    <row r="616" spans="2:17" x14ac:dyDescent="0.2">
      <c r="B616" s="21"/>
      <c r="C616" s="22"/>
      <c r="D616" s="23"/>
      <c r="E616" s="24"/>
      <c r="F616" s="24"/>
      <c r="G616" s="24"/>
      <c r="H616" s="24"/>
      <c r="I616" s="24"/>
      <c r="J616" s="24"/>
      <c r="K616" s="24"/>
      <c r="L616" s="58">
        <f>IF(K616&gt;=0,K616,0)</f>
        <v>0</v>
      </c>
      <c r="M616" s="58">
        <f>IF(K616&lt;=0,K616,0)</f>
        <v>0</v>
      </c>
      <c r="N616" s="58">
        <f>L616+-M616</f>
        <v>0</v>
      </c>
      <c r="O616" s="19"/>
      <c r="P616" s="19">
        <f t="shared" si="23"/>
        <v>0</v>
      </c>
      <c r="Q616" s="19">
        <f t="shared" si="22"/>
        <v>0</v>
      </c>
    </row>
    <row r="617" spans="2:17" x14ac:dyDescent="0.2">
      <c r="B617" s="21"/>
      <c r="C617" s="22"/>
      <c r="D617" s="23"/>
      <c r="E617" s="24"/>
      <c r="F617" s="24"/>
      <c r="G617" s="24"/>
      <c r="H617" s="24"/>
      <c r="I617" s="24"/>
      <c r="J617" s="24"/>
      <c r="K617" s="24"/>
      <c r="L617" s="58">
        <f>IF(K617&gt;=0,K617,0)</f>
        <v>0</v>
      </c>
      <c r="M617" s="58">
        <f>IF(K617&lt;=0,K617,0)</f>
        <v>0</v>
      </c>
      <c r="N617" s="58">
        <f>L617+-M617</f>
        <v>0</v>
      </c>
      <c r="O617" s="19"/>
      <c r="P617" s="19">
        <f t="shared" si="23"/>
        <v>0</v>
      </c>
      <c r="Q617" s="19">
        <f t="shared" si="22"/>
        <v>0</v>
      </c>
    </row>
    <row r="618" spans="2:17" x14ac:dyDescent="0.2">
      <c r="B618" s="21"/>
      <c r="C618" s="22"/>
      <c r="D618" s="23"/>
      <c r="E618" s="24"/>
      <c r="F618" s="24"/>
      <c r="G618" s="24"/>
      <c r="H618" s="24"/>
      <c r="I618" s="24"/>
      <c r="J618" s="24"/>
      <c r="K618" s="24"/>
      <c r="L618" s="58">
        <f>IF(K618&gt;=0,K618,0)</f>
        <v>0</v>
      </c>
      <c r="M618" s="58">
        <f>IF(K618&lt;=0,K618,0)</f>
        <v>0</v>
      </c>
      <c r="N618" s="58">
        <f>L618+-M618</f>
        <v>0</v>
      </c>
      <c r="O618" s="19"/>
      <c r="P618" s="19">
        <f t="shared" si="23"/>
        <v>0</v>
      </c>
      <c r="Q618" s="19">
        <f t="shared" si="22"/>
        <v>0</v>
      </c>
    </row>
    <row r="619" spans="2:17" x14ac:dyDescent="0.2">
      <c r="B619" s="21"/>
      <c r="C619" s="22"/>
      <c r="D619" s="23"/>
      <c r="E619" s="24"/>
      <c r="F619" s="24"/>
      <c r="G619" s="24"/>
      <c r="H619" s="24"/>
      <c r="I619" s="24"/>
      <c r="J619" s="24"/>
      <c r="K619" s="24"/>
      <c r="L619" s="58">
        <f>IF(K619&gt;=0,K619,0)</f>
        <v>0</v>
      </c>
      <c r="M619" s="58">
        <f>IF(K619&lt;=0,K619,0)</f>
        <v>0</v>
      </c>
      <c r="N619" s="58">
        <f>L619+-M619</f>
        <v>0</v>
      </c>
      <c r="O619" s="19"/>
      <c r="P619" s="19">
        <f t="shared" si="23"/>
        <v>0</v>
      </c>
      <c r="Q619" s="19">
        <f t="shared" si="22"/>
        <v>0</v>
      </c>
    </row>
    <row r="620" spans="2:17" x14ac:dyDescent="0.2">
      <c r="B620" s="21"/>
      <c r="C620" s="22"/>
      <c r="D620" s="23"/>
      <c r="E620" s="24"/>
      <c r="F620" s="24"/>
      <c r="G620" s="24"/>
      <c r="H620" s="24"/>
      <c r="I620" s="24"/>
      <c r="J620" s="24"/>
      <c r="K620" s="24"/>
      <c r="L620" s="58">
        <f>IF(K620&gt;=0,K620,0)</f>
        <v>0</v>
      </c>
      <c r="M620" s="58">
        <f>IF(K620&lt;=0,K620,0)</f>
        <v>0</v>
      </c>
      <c r="N620" s="58">
        <f>L620+-M620</f>
        <v>0</v>
      </c>
      <c r="O620" s="19"/>
      <c r="P620" s="19">
        <f t="shared" si="23"/>
        <v>0</v>
      </c>
      <c r="Q620" s="19">
        <f t="shared" si="22"/>
        <v>0</v>
      </c>
    </row>
    <row r="621" spans="2:17" x14ac:dyDescent="0.2">
      <c r="B621" s="21"/>
      <c r="C621" s="22"/>
      <c r="D621" s="23"/>
      <c r="E621" s="24"/>
      <c r="F621" s="24"/>
      <c r="G621" s="24"/>
      <c r="H621" s="24"/>
      <c r="I621" s="24"/>
      <c r="J621" s="24"/>
      <c r="K621" s="24"/>
      <c r="L621" s="58">
        <f>IF(K621&gt;=0,K621,0)</f>
        <v>0</v>
      </c>
      <c r="M621" s="58">
        <f>IF(K621&lt;=0,K621,0)</f>
        <v>0</v>
      </c>
      <c r="N621" s="58">
        <f>L621+-M621</f>
        <v>0</v>
      </c>
      <c r="O621" s="19"/>
      <c r="P621" s="19">
        <f t="shared" si="23"/>
        <v>0</v>
      </c>
      <c r="Q621" s="19">
        <f t="shared" si="22"/>
        <v>0</v>
      </c>
    </row>
    <row r="622" spans="2:17" x14ac:dyDescent="0.2">
      <c r="B622" s="21"/>
      <c r="C622" s="22"/>
      <c r="D622" s="23"/>
      <c r="E622" s="24"/>
      <c r="F622" s="24"/>
      <c r="G622" s="24"/>
      <c r="H622" s="24"/>
      <c r="I622" s="24"/>
      <c r="J622" s="24"/>
      <c r="K622" s="24"/>
      <c r="L622" s="58">
        <f>IF(K622&gt;=0,K622,0)</f>
        <v>0</v>
      </c>
      <c r="M622" s="58">
        <f>IF(K622&lt;=0,K622,0)</f>
        <v>0</v>
      </c>
      <c r="N622" s="58">
        <f>L622+-M622</f>
        <v>0</v>
      </c>
      <c r="O622" s="19"/>
      <c r="P622" s="19">
        <f t="shared" si="23"/>
        <v>0</v>
      </c>
      <c r="Q622" s="19">
        <f t="shared" si="22"/>
        <v>0</v>
      </c>
    </row>
    <row r="623" spans="2:17" x14ac:dyDescent="0.2">
      <c r="B623" s="21"/>
      <c r="C623" s="22"/>
      <c r="D623" s="23"/>
      <c r="E623" s="24"/>
      <c r="F623" s="24"/>
      <c r="G623" s="24"/>
      <c r="H623" s="24"/>
      <c r="I623" s="24"/>
      <c r="J623" s="24"/>
      <c r="K623" s="24"/>
      <c r="L623" s="58">
        <f>IF(K623&gt;=0,K623,0)</f>
        <v>0</v>
      </c>
      <c r="M623" s="58">
        <f>IF(K623&lt;=0,K623,0)</f>
        <v>0</v>
      </c>
      <c r="N623" s="58">
        <f>L623+-M623</f>
        <v>0</v>
      </c>
      <c r="O623" s="19"/>
      <c r="P623" s="19">
        <f t="shared" si="23"/>
        <v>0</v>
      </c>
      <c r="Q623" s="19">
        <f t="shared" si="22"/>
        <v>0</v>
      </c>
    </row>
    <row r="624" spans="2:17" x14ac:dyDescent="0.2">
      <c r="B624" s="21"/>
      <c r="C624" s="22"/>
      <c r="D624" s="23"/>
      <c r="E624" s="24"/>
      <c r="F624" s="24"/>
      <c r="G624" s="24"/>
      <c r="H624" s="24"/>
      <c r="I624" s="24"/>
      <c r="J624" s="24"/>
      <c r="K624" s="24"/>
      <c r="L624" s="58">
        <f>IF(K624&gt;=0,K624,0)</f>
        <v>0</v>
      </c>
      <c r="M624" s="58">
        <f>IF(K624&lt;=0,K624,0)</f>
        <v>0</v>
      </c>
      <c r="N624" s="58">
        <f>L624+-M624</f>
        <v>0</v>
      </c>
      <c r="O624" s="19"/>
      <c r="P624" s="19">
        <f t="shared" si="23"/>
        <v>0</v>
      </c>
      <c r="Q624" s="19">
        <f t="shared" si="22"/>
        <v>0</v>
      </c>
    </row>
    <row r="625" spans="2:17" x14ac:dyDescent="0.2">
      <c r="B625" s="21"/>
      <c r="C625" s="22"/>
      <c r="D625" s="23"/>
      <c r="E625" s="24"/>
      <c r="F625" s="24"/>
      <c r="G625" s="24"/>
      <c r="H625" s="24"/>
      <c r="I625" s="24"/>
      <c r="J625" s="24"/>
      <c r="K625" s="24"/>
      <c r="L625" s="58">
        <f>IF(K625&gt;=0,K625,0)</f>
        <v>0</v>
      </c>
      <c r="M625" s="58">
        <f>IF(K625&lt;=0,K625,0)</f>
        <v>0</v>
      </c>
      <c r="N625" s="58">
        <f>L625+-M625</f>
        <v>0</v>
      </c>
      <c r="O625" s="19"/>
      <c r="P625" s="19">
        <f t="shared" si="23"/>
        <v>0</v>
      </c>
      <c r="Q625" s="19">
        <f t="shared" si="22"/>
        <v>0</v>
      </c>
    </row>
    <row r="626" spans="2:17" x14ac:dyDescent="0.2">
      <c r="B626" s="21"/>
      <c r="C626" s="22"/>
      <c r="D626" s="23"/>
      <c r="E626" s="24"/>
      <c r="F626" s="24"/>
      <c r="G626" s="24"/>
      <c r="H626" s="24"/>
      <c r="I626" s="24"/>
      <c r="J626" s="24"/>
      <c r="K626" s="24"/>
      <c r="L626" s="58">
        <f>IF(K626&gt;=0,K626,0)</f>
        <v>0</v>
      </c>
      <c r="M626" s="58">
        <f>IF(K626&lt;=0,K626,0)</f>
        <v>0</v>
      </c>
      <c r="N626" s="58">
        <f>L626+-M626</f>
        <v>0</v>
      </c>
      <c r="O626" s="19"/>
      <c r="P626" s="19">
        <f t="shared" si="23"/>
        <v>0</v>
      </c>
      <c r="Q626" s="19">
        <f t="shared" si="22"/>
        <v>0</v>
      </c>
    </row>
    <row r="627" spans="2:17" x14ac:dyDescent="0.2">
      <c r="B627" s="21"/>
      <c r="C627" s="22"/>
      <c r="D627" s="23"/>
      <c r="E627" s="24"/>
      <c r="F627" s="24"/>
      <c r="G627" s="24"/>
      <c r="H627" s="24"/>
      <c r="I627" s="24"/>
      <c r="J627" s="24"/>
      <c r="K627" s="24"/>
      <c r="L627" s="58">
        <f>IF(K627&gt;=0,K627,0)</f>
        <v>0</v>
      </c>
      <c r="M627" s="58">
        <f>IF(K627&lt;=0,K627,0)</f>
        <v>0</v>
      </c>
      <c r="N627" s="58">
        <f>L627+-M627</f>
        <v>0</v>
      </c>
      <c r="O627" s="19"/>
      <c r="P627" s="19">
        <f t="shared" si="23"/>
        <v>0</v>
      </c>
      <c r="Q627" s="19">
        <f t="shared" si="22"/>
        <v>0</v>
      </c>
    </row>
    <row r="628" spans="2:17" x14ac:dyDescent="0.2">
      <c r="B628" s="21"/>
      <c r="C628" s="22"/>
      <c r="D628" s="23"/>
      <c r="E628" s="24"/>
      <c r="F628" s="24"/>
      <c r="G628" s="24"/>
      <c r="H628" s="24"/>
      <c r="I628" s="24"/>
      <c r="J628" s="24"/>
      <c r="K628" s="24"/>
      <c r="L628" s="58">
        <f>IF(K628&gt;=0,K628,0)</f>
        <v>0</v>
      </c>
      <c r="M628" s="58">
        <f>IF(K628&lt;=0,K628,0)</f>
        <v>0</v>
      </c>
      <c r="N628" s="58">
        <f>L628+-M628</f>
        <v>0</v>
      </c>
      <c r="O628" s="19"/>
      <c r="P628" s="19">
        <f t="shared" si="23"/>
        <v>0</v>
      </c>
      <c r="Q628" s="19">
        <f t="shared" si="22"/>
        <v>0</v>
      </c>
    </row>
    <row r="629" spans="2:17" x14ac:dyDescent="0.2">
      <c r="B629" s="21"/>
      <c r="C629" s="22"/>
      <c r="D629" s="23"/>
      <c r="E629" s="24"/>
      <c r="F629" s="24"/>
      <c r="G629" s="24"/>
      <c r="H629" s="24"/>
      <c r="I629" s="24"/>
      <c r="J629" s="24"/>
      <c r="K629" s="24"/>
      <c r="L629" s="58">
        <f>IF(K629&gt;=0,K629,0)</f>
        <v>0</v>
      </c>
      <c r="M629" s="58">
        <f>IF(K629&lt;=0,K629,0)</f>
        <v>0</v>
      </c>
      <c r="N629" s="58">
        <f>L629+-M629</f>
        <v>0</v>
      </c>
      <c r="O629" s="19"/>
      <c r="P629" s="19">
        <f t="shared" si="23"/>
        <v>0</v>
      </c>
      <c r="Q629" s="19">
        <f t="shared" si="22"/>
        <v>0</v>
      </c>
    </row>
    <row r="630" spans="2:17" x14ac:dyDescent="0.2">
      <c r="B630" s="21"/>
      <c r="C630" s="22"/>
      <c r="D630" s="23"/>
      <c r="E630" s="24"/>
      <c r="F630" s="24"/>
      <c r="G630" s="24"/>
      <c r="H630" s="24"/>
      <c r="I630" s="24"/>
      <c r="J630" s="24"/>
      <c r="K630" s="24"/>
      <c r="L630" s="58">
        <f>IF(K630&gt;=0,K630,0)</f>
        <v>0</v>
      </c>
      <c r="M630" s="58">
        <f>IF(K630&lt;=0,K630,0)</f>
        <v>0</v>
      </c>
      <c r="N630" s="58">
        <f>L630+-M630</f>
        <v>0</v>
      </c>
      <c r="O630" s="19"/>
      <c r="P630" s="19">
        <f t="shared" si="23"/>
        <v>0</v>
      </c>
      <c r="Q630" s="19">
        <f t="shared" si="22"/>
        <v>0</v>
      </c>
    </row>
    <row r="631" spans="2:17" x14ac:dyDescent="0.2">
      <c r="B631" s="21"/>
      <c r="C631" s="22"/>
      <c r="D631" s="23"/>
      <c r="E631" s="24"/>
      <c r="F631" s="24"/>
      <c r="G631" s="24"/>
      <c r="H631" s="24"/>
      <c r="I631" s="24"/>
      <c r="J631" s="24"/>
      <c r="K631" s="24"/>
      <c r="L631" s="58">
        <f>IF(K631&gt;=0,K631,0)</f>
        <v>0</v>
      </c>
      <c r="M631" s="58">
        <f>IF(K631&lt;=0,K631,0)</f>
        <v>0</v>
      </c>
      <c r="N631" s="58">
        <f>L631+-M631</f>
        <v>0</v>
      </c>
      <c r="O631" s="19"/>
      <c r="P631" s="19">
        <f t="shared" si="23"/>
        <v>0</v>
      </c>
      <c r="Q631" s="19">
        <f t="shared" si="22"/>
        <v>0</v>
      </c>
    </row>
    <row r="632" spans="2:17" x14ac:dyDescent="0.2">
      <c r="B632" s="21"/>
      <c r="C632" s="22"/>
      <c r="D632" s="23"/>
      <c r="E632" s="24"/>
      <c r="F632" s="24"/>
      <c r="G632" s="24"/>
      <c r="H632" s="24"/>
      <c r="I632" s="24"/>
      <c r="J632" s="24"/>
      <c r="K632" s="24"/>
      <c r="L632" s="58">
        <f>IF(K632&gt;=0,K632,0)</f>
        <v>0</v>
      </c>
      <c r="M632" s="58">
        <f>IF(K632&lt;=0,K632,0)</f>
        <v>0</v>
      </c>
      <c r="N632" s="58">
        <f>L632+-M632</f>
        <v>0</v>
      </c>
      <c r="O632" s="19"/>
      <c r="P632" s="19">
        <f t="shared" si="23"/>
        <v>0</v>
      </c>
      <c r="Q632" s="19">
        <f t="shared" si="22"/>
        <v>0</v>
      </c>
    </row>
    <row r="633" spans="2:17" x14ac:dyDescent="0.2">
      <c r="B633" s="21"/>
      <c r="C633" s="22"/>
      <c r="D633" s="23"/>
      <c r="E633" s="24"/>
      <c r="F633" s="24"/>
      <c r="G633" s="24"/>
      <c r="H633" s="24"/>
      <c r="I633" s="24"/>
      <c r="J633" s="24"/>
      <c r="K633" s="24"/>
      <c r="L633" s="58">
        <f>IF(K633&gt;=0,K633,0)</f>
        <v>0</v>
      </c>
      <c r="M633" s="58">
        <f>IF(K633&lt;=0,K633,0)</f>
        <v>0</v>
      </c>
      <c r="N633" s="58">
        <f>L633+-M633</f>
        <v>0</v>
      </c>
      <c r="O633" s="19"/>
      <c r="P633" s="19">
        <f t="shared" si="23"/>
        <v>0</v>
      </c>
      <c r="Q633" s="19">
        <f t="shared" si="22"/>
        <v>0</v>
      </c>
    </row>
    <row r="634" spans="2:17" x14ac:dyDescent="0.2">
      <c r="B634" s="21"/>
      <c r="C634" s="22"/>
      <c r="D634" s="23"/>
      <c r="E634" s="24"/>
      <c r="F634" s="24"/>
      <c r="G634" s="24"/>
      <c r="H634" s="24"/>
      <c r="I634" s="24"/>
      <c r="J634" s="24"/>
      <c r="K634" s="24"/>
      <c r="L634" s="58">
        <f>IF(K634&gt;=0,K634,0)</f>
        <v>0</v>
      </c>
      <c r="M634" s="58">
        <f>IF(K634&lt;=0,K634,0)</f>
        <v>0</v>
      </c>
      <c r="N634" s="58">
        <f>L634+-M634</f>
        <v>0</v>
      </c>
      <c r="O634" s="19"/>
      <c r="P634" s="19">
        <f t="shared" si="23"/>
        <v>0</v>
      </c>
      <c r="Q634" s="19">
        <f t="shared" si="22"/>
        <v>0</v>
      </c>
    </row>
    <row r="635" spans="2:17" x14ac:dyDescent="0.2">
      <c r="B635" s="21"/>
      <c r="C635" s="22"/>
      <c r="D635" s="23"/>
      <c r="E635" s="24"/>
      <c r="F635" s="24"/>
      <c r="G635" s="24"/>
      <c r="H635" s="24"/>
      <c r="I635" s="24"/>
      <c r="J635" s="24"/>
      <c r="K635" s="24"/>
      <c r="L635" s="58">
        <f>IF(K635&gt;=0,K635,0)</f>
        <v>0</v>
      </c>
      <c r="M635" s="58">
        <f>IF(K635&lt;=0,K635,0)</f>
        <v>0</v>
      </c>
      <c r="N635" s="58">
        <f>L635+-M635</f>
        <v>0</v>
      </c>
      <c r="O635" s="19"/>
      <c r="P635" s="19">
        <f t="shared" si="23"/>
        <v>0</v>
      </c>
      <c r="Q635" s="19">
        <f t="shared" si="22"/>
        <v>0</v>
      </c>
    </row>
    <row r="636" spans="2:17" x14ac:dyDescent="0.2">
      <c r="B636" s="21"/>
      <c r="C636" s="22"/>
      <c r="D636" s="23"/>
      <c r="E636" s="24"/>
      <c r="F636" s="24"/>
      <c r="G636" s="24"/>
      <c r="H636" s="24"/>
      <c r="I636" s="24"/>
      <c r="J636" s="24"/>
      <c r="K636" s="24"/>
      <c r="L636" s="58">
        <f>IF(K636&gt;=0,K636,0)</f>
        <v>0</v>
      </c>
      <c r="M636" s="58">
        <f>IF(K636&lt;=0,K636,0)</f>
        <v>0</v>
      </c>
      <c r="N636" s="58">
        <f>L636+-M636</f>
        <v>0</v>
      </c>
      <c r="O636" s="19"/>
      <c r="P636" s="19">
        <f t="shared" si="23"/>
        <v>0</v>
      </c>
      <c r="Q636" s="19">
        <f t="shared" ref="Q636:Q699" si="24">P636+Q635</f>
        <v>0</v>
      </c>
    </row>
    <row r="637" spans="2:17" x14ac:dyDescent="0.2">
      <c r="B637" s="21"/>
      <c r="C637" s="22"/>
      <c r="D637" s="23"/>
      <c r="E637" s="24"/>
      <c r="F637" s="24"/>
      <c r="G637" s="24"/>
      <c r="H637" s="24"/>
      <c r="I637" s="24"/>
      <c r="J637" s="24"/>
      <c r="K637" s="24"/>
      <c r="L637" s="58">
        <f>IF(K637&gt;=0,K637,0)</f>
        <v>0</v>
      </c>
      <c r="M637" s="58">
        <f>IF(K637&lt;=0,K637,0)</f>
        <v>0</v>
      </c>
      <c r="N637" s="58">
        <f>L637+-M637</f>
        <v>0</v>
      </c>
      <c r="O637" s="19"/>
      <c r="P637" s="19">
        <f t="shared" si="23"/>
        <v>0</v>
      </c>
      <c r="Q637" s="19">
        <f t="shared" si="24"/>
        <v>0</v>
      </c>
    </row>
    <row r="638" spans="2:17" x14ac:dyDescent="0.2">
      <c r="B638" s="21"/>
      <c r="C638" s="22"/>
      <c r="D638" s="23"/>
      <c r="E638" s="24"/>
      <c r="F638" s="24"/>
      <c r="G638" s="24"/>
      <c r="H638" s="24"/>
      <c r="I638" s="24"/>
      <c r="J638" s="24"/>
      <c r="K638" s="24"/>
      <c r="L638" s="58">
        <f>IF(K638&gt;=0,K638,0)</f>
        <v>0</v>
      </c>
      <c r="M638" s="58">
        <f>IF(K638&lt;=0,K638,0)</f>
        <v>0</v>
      </c>
      <c r="N638" s="58">
        <f>L638+-M638</f>
        <v>0</v>
      </c>
      <c r="O638" s="19"/>
      <c r="P638" s="19">
        <f t="shared" si="23"/>
        <v>0</v>
      </c>
      <c r="Q638" s="19">
        <f t="shared" si="24"/>
        <v>0</v>
      </c>
    </row>
    <row r="639" spans="2:17" x14ac:dyDescent="0.2">
      <c r="B639" s="21"/>
      <c r="C639" s="22"/>
      <c r="D639" s="23"/>
      <c r="E639" s="24"/>
      <c r="F639" s="24"/>
      <c r="G639" s="24"/>
      <c r="H639" s="24"/>
      <c r="I639" s="24"/>
      <c r="J639" s="24"/>
      <c r="K639" s="24"/>
      <c r="L639" s="58">
        <f>IF(K639&gt;=0,K639,0)</f>
        <v>0</v>
      </c>
      <c r="M639" s="58">
        <f>IF(K639&lt;=0,K639,0)</f>
        <v>0</v>
      </c>
      <c r="N639" s="58">
        <f>L639+-M639</f>
        <v>0</v>
      </c>
      <c r="O639" s="19"/>
      <c r="P639" s="19">
        <f t="shared" si="23"/>
        <v>0</v>
      </c>
      <c r="Q639" s="19">
        <f t="shared" si="24"/>
        <v>0</v>
      </c>
    </row>
    <row r="640" spans="2:17" x14ac:dyDescent="0.2">
      <c r="B640" s="21"/>
      <c r="C640" s="22"/>
      <c r="D640" s="23"/>
      <c r="E640" s="24"/>
      <c r="F640" s="24"/>
      <c r="G640" s="24"/>
      <c r="H640" s="24"/>
      <c r="I640" s="24"/>
      <c r="J640" s="24"/>
      <c r="K640" s="24"/>
      <c r="L640" s="58">
        <f>IF(K640&gt;=0,K640,0)</f>
        <v>0</v>
      </c>
      <c r="M640" s="58">
        <f>IF(K640&lt;=0,K640,0)</f>
        <v>0</v>
      </c>
      <c r="N640" s="58">
        <f>L640+-M640</f>
        <v>0</v>
      </c>
      <c r="O640" s="19"/>
      <c r="P640" s="19">
        <f t="shared" si="23"/>
        <v>0</v>
      </c>
      <c r="Q640" s="19">
        <f t="shared" si="24"/>
        <v>0</v>
      </c>
    </row>
    <row r="641" spans="2:17" x14ac:dyDescent="0.2">
      <c r="B641" s="21"/>
      <c r="C641" s="22"/>
      <c r="D641" s="23"/>
      <c r="E641" s="24"/>
      <c r="F641" s="24"/>
      <c r="G641" s="24"/>
      <c r="H641" s="24"/>
      <c r="I641" s="24"/>
      <c r="J641" s="24"/>
      <c r="K641" s="24"/>
      <c r="L641" s="58">
        <f>IF(K641&gt;=0,K641,0)</f>
        <v>0</v>
      </c>
      <c r="M641" s="58">
        <f>IF(K641&lt;=0,K641,0)</f>
        <v>0</v>
      </c>
      <c r="N641" s="58">
        <f>L641+-M641</f>
        <v>0</v>
      </c>
      <c r="O641" s="19"/>
      <c r="P641" s="19">
        <f t="shared" si="23"/>
        <v>0</v>
      </c>
      <c r="Q641" s="19">
        <f t="shared" si="24"/>
        <v>0</v>
      </c>
    </row>
    <row r="642" spans="2:17" x14ac:dyDescent="0.2">
      <c r="B642" s="21"/>
      <c r="C642" s="22"/>
      <c r="D642" s="23"/>
      <c r="E642" s="24"/>
      <c r="F642" s="24"/>
      <c r="G642" s="24"/>
      <c r="H642" s="24"/>
      <c r="I642" s="24"/>
      <c r="J642" s="24"/>
      <c r="K642" s="24"/>
      <c r="L642" s="58">
        <f>IF(K642&gt;=0,K642,0)</f>
        <v>0</v>
      </c>
      <c r="M642" s="58">
        <f>IF(K642&lt;=0,K642,0)</f>
        <v>0</v>
      </c>
      <c r="N642" s="58">
        <f>L642+-M642</f>
        <v>0</v>
      </c>
      <c r="O642" s="19"/>
      <c r="P642" s="19">
        <f t="shared" si="23"/>
        <v>0</v>
      </c>
      <c r="Q642" s="19">
        <f t="shared" si="24"/>
        <v>0</v>
      </c>
    </row>
    <row r="643" spans="2:17" x14ac:dyDescent="0.2">
      <c r="B643" s="21"/>
      <c r="C643" s="22"/>
      <c r="D643" s="23"/>
      <c r="E643" s="24"/>
      <c r="F643" s="24"/>
      <c r="G643" s="24"/>
      <c r="H643" s="24"/>
      <c r="I643" s="24"/>
      <c r="J643" s="24"/>
      <c r="K643" s="24"/>
      <c r="L643" s="58">
        <f>IF(K643&gt;=0,K643,0)</f>
        <v>0</v>
      </c>
      <c r="M643" s="58">
        <f>IF(K643&lt;=0,K643,0)</f>
        <v>0</v>
      </c>
      <c r="N643" s="58">
        <f>L643+-M643</f>
        <v>0</v>
      </c>
      <c r="O643" s="19"/>
      <c r="P643" s="19">
        <f t="shared" si="23"/>
        <v>0</v>
      </c>
      <c r="Q643" s="19">
        <f t="shared" si="24"/>
        <v>0</v>
      </c>
    </row>
    <row r="644" spans="2:17" x14ac:dyDescent="0.2">
      <c r="B644" s="21"/>
      <c r="C644" s="22"/>
      <c r="D644" s="23"/>
      <c r="E644" s="24"/>
      <c r="F644" s="24"/>
      <c r="G644" s="24"/>
      <c r="H644" s="24"/>
      <c r="I644" s="24"/>
      <c r="J644" s="24"/>
      <c r="K644" s="24"/>
      <c r="L644" s="58">
        <f>IF(K644&gt;=0,K644,0)</f>
        <v>0</v>
      </c>
      <c r="M644" s="58">
        <f>IF(K644&lt;=0,K644,0)</f>
        <v>0</v>
      </c>
      <c r="N644" s="58">
        <f>L644+-M644</f>
        <v>0</v>
      </c>
      <c r="O644" s="19"/>
      <c r="P644" s="19">
        <f t="shared" si="23"/>
        <v>0</v>
      </c>
      <c r="Q644" s="19">
        <f t="shared" si="24"/>
        <v>0</v>
      </c>
    </row>
    <row r="645" spans="2:17" x14ac:dyDescent="0.2">
      <c r="B645" s="21"/>
      <c r="C645" s="22"/>
      <c r="D645" s="23"/>
      <c r="E645" s="24"/>
      <c r="F645" s="24"/>
      <c r="G645" s="24"/>
      <c r="H645" s="24"/>
      <c r="I645" s="24"/>
      <c r="J645" s="24"/>
      <c r="K645" s="24"/>
      <c r="L645" s="58">
        <f>IF(K645&gt;=0,K645,0)</f>
        <v>0</v>
      </c>
      <c r="M645" s="58">
        <f>IF(K645&lt;=0,K645,0)</f>
        <v>0</v>
      </c>
      <c r="N645" s="58">
        <f>L645+-M645</f>
        <v>0</v>
      </c>
      <c r="O645" s="19"/>
      <c r="P645" s="19">
        <f t="shared" si="23"/>
        <v>0</v>
      </c>
      <c r="Q645" s="19">
        <f t="shared" si="24"/>
        <v>0</v>
      </c>
    </row>
    <row r="646" spans="2:17" x14ac:dyDescent="0.2">
      <c r="B646" s="21"/>
      <c r="C646" s="22"/>
      <c r="D646" s="23"/>
      <c r="E646" s="24"/>
      <c r="F646" s="24"/>
      <c r="G646" s="24"/>
      <c r="H646" s="24"/>
      <c r="I646" s="24"/>
      <c r="J646" s="24"/>
      <c r="K646" s="24"/>
      <c r="L646" s="58">
        <f>IF(K646&gt;=0,K646,0)</f>
        <v>0</v>
      </c>
      <c r="M646" s="58">
        <f>IF(K646&lt;=0,K646,0)</f>
        <v>0</v>
      </c>
      <c r="N646" s="58">
        <f>L646+-M646</f>
        <v>0</v>
      </c>
      <c r="O646" s="19"/>
      <c r="P646" s="19">
        <f t="shared" si="23"/>
        <v>0</v>
      </c>
      <c r="Q646" s="19">
        <f t="shared" si="24"/>
        <v>0</v>
      </c>
    </row>
    <row r="647" spans="2:17" x14ac:dyDescent="0.2">
      <c r="B647" s="21"/>
      <c r="C647" s="22"/>
      <c r="D647" s="23"/>
      <c r="E647" s="24"/>
      <c r="F647" s="24"/>
      <c r="G647" s="24"/>
      <c r="H647" s="24"/>
      <c r="I647" s="24"/>
      <c r="J647" s="24"/>
      <c r="K647" s="24"/>
      <c r="L647" s="58">
        <f>IF(K647&gt;=0,K647,0)</f>
        <v>0</v>
      </c>
      <c r="M647" s="58">
        <f>IF(K647&lt;=0,K647,0)</f>
        <v>0</v>
      </c>
      <c r="N647" s="58">
        <f>L647+-M647</f>
        <v>0</v>
      </c>
      <c r="O647" s="19"/>
      <c r="P647" s="19">
        <f t="shared" ref="P647:P710" si="25">N647/$N$1055</f>
        <v>0</v>
      </c>
      <c r="Q647" s="19">
        <f t="shared" si="24"/>
        <v>0</v>
      </c>
    </row>
    <row r="648" spans="2:17" x14ac:dyDescent="0.2">
      <c r="B648" s="21"/>
      <c r="C648" s="22"/>
      <c r="D648" s="23"/>
      <c r="E648" s="24"/>
      <c r="F648" s="24"/>
      <c r="G648" s="24"/>
      <c r="H648" s="24"/>
      <c r="I648" s="24"/>
      <c r="J648" s="24"/>
      <c r="K648" s="24"/>
      <c r="L648" s="58">
        <f>IF(K648&gt;=0,K648,0)</f>
        <v>0</v>
      </c>
      <c r="M648" s="58">
        <f>IF(K648&lt;=0,K648,0)</f>
        <v>0</v>
      </c>
      <c r="N648" s="58">
        <f>L648+-M648</f>
        <v>0</v>
      </c>
      <c r="O648" s="19"/>
      <c r="P648" s="19">
        <f t="shared" si="25"/>
        <v>0</v>
      </c>
      <c r="Q648" s="19">
        <f t="shared" si="24"/>
        <v>0</v>
      </c>
    </row>
    <row r="649" spans="2:17" x14ac:dyDescent="0.2">
      <c r="B649" s="21"/>
      <c r="C649" s="22"/>
      <c r="D649" s="23"/>
      <c r="E649" s="24"/>
      <c r="F649" s="24"/>
      <c r="G649" s="24"/>
      <c r="H649" s="24"/>
      <c r="I649" s="24"/>
      <c r="J649" s="24"/>
      <c r="K649" s="24"/>
      <c r="L649" s="58">
        <f>IF(K649&gt;=0,K649,0)</f>
        <v>0</v>
      </c>
      <c r="M649" s="58">
        <f>IF(K649&lt;=0,K649,0)</f>
        <v>0</v>
      </c>
      <c r="N649" s="58">
        <f>L649+-M649</f>
        <v>0</v>
      </c>
      <c r="O649" s="19"/>
      <c r="P649" s="19">
        <f t="shared" si="25"/>
        <v>0</v>
      </c>
      <c r="Q649" s="19">
        <f t="shared" si="24"/>
        <v>0</v>
      </c>
    </row>
    <row r="650" spans="2:17" x14ac:dyDescent="0.2">
      <c r="B650" s="21"/>
      <c r="C650" s="22"/>
      <c r="D650" s="23"/>
      <c r="E650" s="24"/>
      <c r="F650" s="24"/>
      <c r="G650" s="24"/>
      <c r="H650" s="24"/>
      <c r="I650" s="24"/>
      <c r="J650" s="24"/>
      <c r="K650" s="24"/>
      <c r="L650" s="58">
        <f>IF(K650&gt;=0,K650,0)</f>
        <v>0</v>
      </c>
      <c r="M650" s="58">
        <f>IF(K650&lt;=0,K650,0)</f>
        <v>0</v>
      </c>
      <c r="N650" s="58">
        <f>L650+-M650</f>
        <v>0</v>
      </c>
      <c r="O650" s="19"/>
      <c r="P650" s="19">
        <f t="shared" si="25"/>
        <v>0</v>
      </c>
      <c r="Q650" s="19">
        <f t="shared" si="24"/>
        <v>0</v>
      </c>
    </row>
    <row r="651" spans="2:17" x14ac:dyDescent="0.2">
      <c r="B651" s="21"/>
      <c r="C651" s="22"/>
      <c r="D651" s="23"/>
      <c r="E651" s="24"/>
      <c r="F651" s="24"/>
      <c r="G651" s="24"/>
      <c r="H651" s="24"/>
      <c r="I651" s="24"/>
      <c r="J651" s="24"/>
      <c r="K651" s="24"/>
      <c r="L651" s="58">
        <f>IF(K651&gt;=0,K651,0)</f>
        <v>0</v>
      </c>
      <c r="M651" s="58">
        <f>IF(K651&lt;=0,K651,0)</f>
        <v>0</v>
      </c>
      <c r="N651" s="58">
        <f>L651+-M651</f>
        <v>0</v>
      </c>
      <c r="O651" s="19"/>
      <c r="P651" s="19">
        <f t="shared" si="25"/>
        <v>0</v>
      </c>
      <c r="Q651" s="19">
        <f t="shared" si="24"/>
        <v>0</v>
      </c>
    </row>
    <row r="652" spans="2:17" x14ac:dyDescent="0.2">
      <c r="B652" s="21"/>
      <c r="C652" s="22"/>
      <c r="D652" s="23"/>
      <c r="E652" s="24"/>
      <c r="F652" s="24"/>
      <c r="G652" s="24"/>
      <c r="H652" s="24"/>
      <c r="I652" s="24"/>
      <c r="J652" s="24"/>
      <c r="K652" s="24"/>
      <c r="L652" s="58">
        <f>IF(K652&gt;=0,K652,0)</f>
        <v>0</v>
      </c>
      <c r="M652" s="58">
        <f>IF(K652&lt;=0,K652,0)</f>
        <v>0</v>
      </c>
      <c r="N652" s="58">
        <f>L652+-M652</f>
        <v>0</v>
      </c>
      <c r="O652" s="19"/>
      <c r="P652" s="19">
        <f t="shared" si="25"/>
        <v>0</v>
      </c>
      <c r="Q652" s="19">
        <f t="shared" si="24"/>
        <v>0</v>
      </c>
    </row>
    <row r="653" spans="2:17" x14ac:dyDescent="0.2">
      <c r="B653" s="21"/>
      <c r="C653" s="22"/>
      <c r="D653" s="23"/>
      <c r="E653" s="24"/>
      <c r="F653" s="24"/>
      <c r="G653" s="24"/>
      <c r="H653" s="24"/>
      <c r="I653" s="24"/>
      <c r="J653" s="24"/>
      <c r="K653" s="24"/>
      <c r="L653" s="58">
        <f>IF(K653&gt;=0,K653,0)</f>
        <v>0</v>
      </c>
      <c r="M653" s="58">
        <f>IF(K653&lt;=0,K653,0)</f>
        <v>0</v>
      </c>
      <c r="N653" s="58">
        <f>L653+-M653</f>
        <v>0</v>
      </c>
      <c r="O653" s="19"/>
      <c r="P653" s="19">
        <f t="shared" si="25"/>
        <v>0</v>
      </c>
      <c r="Q653" s="19">
        <f t="shared" si="24"/>
        <v>0</v>
      </c>
    </row>
    <row r="654" spans="2:17" x14ac:dyDescent="0.2">
      <c r="B654" s="21"/>
      <c r="C654" s="22"/>
      <c r="D654" s="23"/>
      <c r="E654" s="24"/>
      <c r="F654" s="24"/>
      <c r="G654" s="24"/>
      <c r="H654" s="24"/>
      <c r="I654" s="24"/>
      <c r="J654" s="24"/>
      <c r="K654" s="24"/>
      <c r="L654" s="58">
        <f>IF(K654&gt;=0,K654,0)</f>
        <v>0</v>
      </c>
      <c r="M654" s="58">
        <f>IF(K654&lt;=0,K654,0)</f>
        <v>0</v>
      </c>
      <c r="N654" s="58">
        <f>L654+-M654</f>
        <v>0</v>
      </c>
      <c r="O654" s="19"/>
      <c r="P654" s="19">
        <f t="shared" si="25"/>
        <v>0</v>
      </c>
      <c r="Q654" s="19">
        <f t="shared" si="24"/>
        <v>0</v>
      </c>
    </row>
    <row r="655" spans="2:17" x14ac:dyDescent="0.2">
      <c r="B655" s="21"/>
      <c r="C655" s="22"/>
      <c r="D655" s="23"/>
      <c r="E655" s="24"/>
      <c r="F655" s="24"/>
      <c r="G655" s="24"/>
      <c r="H655" s="24"/>
      <c r="I655" s="24"/>
      <c r="J655" s="24"/>
      <c r="K655" s="24"/>
      <c r="L655" s="58">
        <f>IF(K655&gt;=0,K655,0)</f>
        <v>0</v>
      </c>
      <c r="M655" s="58">
        <f>IF(K655&lt;=0,K655,0)</f>
        <v>0</v>
      </c>
      <c r="N655" s="58">
        <f>L655+-M655</f>
        <v>0</v>
      </c>
      <c r="O655" s="19"/>
      <c r="P655" s="19">
        <f t="shared" si="25"/>
        <v>0</v>
      </c>
      <c r="Q655" s="19">
        <f t="shared" si="24"/>
        <v>0</v>
      </c>
    </row>
    <row r="656" spans="2:17" x14ac:dyDescent="0.2">
      <c r="B656" s="21"/>
      <c r="C656" s="22"/>
      <c r="D656" s="23"/>
      <c r="E656" s="24"/>
      <c r="F656" s="24"/>
      <c r="G656" s="24"/>
      <c r="H656" s="24"/>
      <c r="I656" s="24"/>
      <c r="J656" s="24"/>
      <c r="K656" s="24"/>
      <c r="L656" s="58">
        <f>IF(K656&gt;=0,K656,0)</f>
        <v>0</v>
      </c>
      <c r="M656" s="58">
        <f>IF(K656&lt;=0,K656,0)</f>
        <v>0</v>
      </c>
      <c r="N656" s="58">
        <f>L656+-M656</f>
        <v>0</v>
      </c>
      <c r="O656" s="19"/>
      <c r="P656" s="19">
        <f t="shared" si="25"/>
        <v>0</v>
      </c>
      <c r="Q656" s="19">
        <f t="shared" si="24"/>
        <v>0</v>
      </c>
    </row>
    <row r="657" spans="2:17" x14ac:dyDescent="0.2">
      <c r="B657" s="21"/>
      <c r="C657" s="22"/>
      <c r="D657" s="23"/>
      <c r="E657" s="24"/>
      <c r="F657" s="24"/>
      <c r="G657" s="24"/>
      <c r="H657" s="24"/>
      <c r="I657" s="24"/>
      <c r="J657" s="24"/>
      <c r="K657" s="24"/>
      <c r="L657" s="58">
        <f>IF(K657&gt;=0,K657,0)</f>
        <v>0</v>
      </c>
      <c r="M657" s="58">
        <f>IF(K657&lt;=0,K657,0)</f>
        <v>0</v>
      </c>
      <c r="N657" s="58">
        <f>L657+-M657</f>
        <v>0</v>
      </c>
      <c r="O657" s="19"/>
      <c r="P657" s="19">
        <f t="shared" si="25"/>
        <v>0</v>
      </c>
      <c r="Q657" s="19">
        <f t="shared" si="24"/>
        <v>0</v>
      </c>
    </row>
    <row r="658" spans="2:17" x14ac:dyDescent="0.2">
      <c r="B658" s="21"/>
      <c r="C658" s="22"/>
      <c r="D658" s="23"/>
      <c r="E658" s="24"/>
      <c r="F658" s="24"/>
      <c r="G658" s="24"/>
      <c r="H658" s="24"/>
      <c r="I658" s="24"/>
      <c r="J658" s="24"/>
      <c r="K658" s="24"/>
      <c r="L658" s="58">
        <f>IF(K658&gt;=0,K658,0)</f>
        <v>0</v>
      </c>
      <c r="M658" s="58">
        <f>IF(K658&lt;=0,K658,0)</f>
        <v>0</v>
      </c>
      <c r="N658" s="58">
        <f>L658+-M658</f>
        <v>0</v>
      </c>
      <c r="O658" s="19"/>
      <c r="P658" s="19">
        <f t="shared" si="25"/>
        <v>0</v>
      </c>
      <c r="Q658" s="19">
        <f t="shared" si="24"/>
        <v>0</v>
      </c>
    </row>
    <row r="659" spans="2:17" x14ac:dyDescent="0.2">
      <c r="B659" s="21"/>
      <c r="C659" s="22"/>
      <c r="D659" s="23"/>
      <c r="E659" s="24"/>
      <c r="F659" s="24"/>
      <c r="G659" s="24"/>
      <c r="H659" s="24"/>
      <c r="I659" s="24"/>
      <c r="J659" s="24"/>
      <c r="K659" s="24"/>
      <c r="L659" s="58">
        <f>IF(K659&gt;=0,K659,0)</f>
        <v>0</v>
      </c>
      <c r="M659" s="58">
        <f>IF(K659&lt;=0,K659,0)</f>
        <v>0</v>
      </c>
      <c r="N659" s="58">
        <f>L659+-M659</f>
        <v>0</v>
      </c>
      <c r="O659" s="19"/>
      <c r="P659" s="19">
        <f t="shared" si="25"/>
        <v>0</v>
      </c>
      <c r="Q659" s="19">
        <f t="shared" si="24"/>
        <v>0</v>
      </c>
    </row>
    <row r="660" spans="2:17" x14ac:dyDescent="0.2">
      <c r="B660" s="21"/>
      <c r="C660" s="22"/>
      <c r="D660" s="23"/>
      <c r="E660" s="24"/>
      <c r="F660" s="24"/>
      <c r="G660" s="24"/>
      <c r="H660" s="24"/>
      <c r="I660" s="24"/>
      <c r="J660" s="24"/>
      <c r="K660" s="24"/>
      <c r="L660" s="58">
        <f>IF(K660&gt;=0,K660,0)</f>
        <v>0</v>
      </c>
      <c r="M660" s="58">
        <f>IF(K660&lt;=0,K660,0)</f>
        <v>0</v>
      </c>
      <c r="N660" s="58">
        <f>L660+-M660</f>
        <v>0</v>
      </c>
      <c r="O660" s="19"/>
      <c r="P660" s="19">
        <f t="shared" si="25"/>
        <v>0</v>
      </c>
      <c r="Q660" s="19">
        <f t="shared" si="24"/>
        <v>0</v>
      </c>
    </row>
    <row r="661" spans="2:17" x14ac:dyDescent="0.2">
      <c r="B661" s="21"/>
      <c r="C661" s="22"/>
      <c r="D661" s="23"/>
      <c r="E661" s="24"/>
      <c r="F661" s="24"/>
      <c r="G661" s="24"/>
      <c r="H661" s="24"/>
      <c r="I661" s="24"/>
      <c r="J661" s="24"/>
      <c r="K661" s="24"/>
      <c r="L661" s="58">
        <f>IF(K661&gt;=0,K661,0)</f>
        <v>0</v>
      </c>
      <c r="M661" s="58">
        <f>IF(K661&lt;=0,K661,0)</f>
        <v>0</v>
      </c>
      <c r="N661" s="58">
        <f>L661+-M661</f>
        <v>0</v>
      </c>
      <c r="O661" s="19"/>
      <c r="P661" s="19">
        <f t="shared" si="25"/>
        <v>0</v>
      </c>
      <c r="Q661" s="19">
        <f t="shared" si="24"/>
        <v>0</v>
      </c>
    </row>
    <row r="662" spans="2:17" x14ac:dyDescent="0.2">
      <c r="B662" s="21"/>
      <c r="C662" s="22"/>
      <c r="D662" s="23"/>
      <c r="E662" s="24"/>
      <c r="F662" s="24"/>
      <c r="G662" s="24"/>
      <c r="H662" s="24"/>
      <c r="I662" s="24"/>
      <c r="J662" s="24"/>
      <c r="K662" s="24"/>
      <c r="L662" s="58">
        <f>IF(K662&gt;=0,K662,0)</f>
        <v>0</v>
      </c>
      <c r="M662" s="58">
        <f>IF(K662&lt;=0,K662,0)</f>
        <v>0</v>
      </c>
      <c r="N662" s="58">
        <f>L662+-M662</f>
        <v>0</v>
      </c>
      <c r="O662" s="19"/>
      <c r="P662" s="19">
        <f t="shared" si="25"/>
        <v>0</v>
      </c>
      <c r="Q662" s="19">
        <f t="shared" si="24"/>
        <v>0</v>
      </c>
    </row>
    <row r="663" spans="2:17" x14ac:dyDescent="0.2">
      <c r="B663" s="21"/>
      <c r="C663" s="22"/>
      <c r="D663" s="23"/>
      <c r="E663" s="24"/>
      <c r="F663" s="24"/>
      <c r="G663" s="24"/>
      <c r="H663" s="24"/>
      <c r="I663" s="24"/>
      <c r="J663" s="24"/>
      <c r="K663" s="24"/>
      <c r="L663" s="58">
        <f>IF(K663&gt;=0,K663,0)</f>
        <v>0</v>
      </c>
      <c r="M663" s="58">
        <f>IF(K663&lt;=0,K663,0)</f>
        <v>0</v>
      </c>
      <c r="N663" s="58">
        <f>L663+-M663</f>
        <v>0</v>
      </c>
      <c r="O663" s="19"/>
      <c r="P663" s="19">
        <f t="shared" si="25"/>
        <v>0</v>
      </c>
      <c r="Q663" s="19">
        <f t="shared" si="24"/>
        <v>0</v>
      </c>
    </row>
    <row r="664" spans="2:17" x14ac:dyDescent="0.2">
      <c r="B664" s="21"/>
      <c r="C664" s="22"/>
      <c r="D664" s="23"/>
      <c r="E664" s="24"/>
      <c r="F664" s="24"/>
      <c r="G664" s="24"/>
      <c r="H664" s="24"/>
      <c r="I664" s="24"/>
      <c r="J664" s="24"/>
      <c r="K664" s="24"/>
      <c r="L664" s="58">
        <f>IF(K664&gt;=0,K664,0)</f>
        <v>0</v>
      </c>
      <c r="M664" s="58">
        <f>IF(K664&lt;=0,K664,0)</f>
        <v>0</v>
      </c>
      <c r="N664" s="58">
        <f>L664+-M664</f>
        <v>0</v>
      </c>
      <c r="O664" s="19"/>
      <c r="P664" s="19">
        <f t="shared" si="25"/>
        <v>0</v>
      </c>
      <c r="Q664" s="19">
        <f t="shared" si="24"/>
        <v>0</v>
      </c>
    </row>
    <row r="665" spans="2:17" x14ac:dyDescent="0.2">
      <c r="B665" s="21"/>
      <c r="C665" s="22"/>
      <c r="D665" s="23"/>
      <c r="E665" s="24"/>
      <c r="F665" s="24"/>
      <c r="G665" s="24"/>
      <c r="H665" s="24"/>
      <c r="I665" s="24"/>
      <c r="J665" s="24"/>
      <c r="K665" s="24"/>
      <c r="L665" s="58">
        <f>IF(K665&gt;=0,K665,0)</f>
        <v>0</v>
      </c>
      <c r="M665" s="58">
        <f>IF(K665&lt;=0,K665,0)</f>
        <v>0</v>
      </c>
      <c r="N665" s="58">
        <f>L665+-M665</f>
        <v>0</v>
      </c>
      <c r="O665" s="19"/>
      <c r="P665" s="19">
        <f t="shared" si="25"/>
        <v>0</v>
      </c>
      <c r="Q665" s="19">
        <f t="shared" si="24"/>
        <v>0</v>
      </c>
    </row>
    <row r="666" spans="2:17" x14ac:dyDescent="0.2">
      <c r="B666" s="21"/>
      <c r="C666" s="22"/>
      <c r="D666" s="23"/>
      <c r="E666" s="24"/>
      <c r="F666" s="24"/>
      <c r="G666" s="24"/>
      <c r="H666" s="24"/>
      <c r="I666" s="24"/>
      <c r="J666" s="24"/>
      <c r="K666" s="24"/>
      <c r="L666" s="58">
        <f>IF(K666&gt;=0,K666,0)</f>
        <v>0</v>
      </c>
      <c r="M666" s="58">
        <f>IF(K666&lt;=0,K666,0)</f>
        <v>0</v>
      </c>
      <c r="N666" s="58">
        <f>L666+-M666</f>
        <v>0</v>
      </c>
      <c r="O666" s="19"/>
      <c r="P666" s="19">
        <f t="shared" si="25"/>
        <v>0</v>
      </c>
      <c r="Q666" s="19">
        <f t="shared" si="24"/>
        <v>0</v>
      </c>
    </row>
    <row r="667" spans="2:17" x14ac:dyDescent="0.2">
      <c r="B667" s="21"/>
      <c r="C667" s="22"/>
      <c r="D667" s="23"/>
      <c r="E667" s="24"/>
      <c r="F667" s="24"/>
      <c r="G667" s="24"/>
      <c r="H667" s="24"/>
      <c r="I667" s="24"/>
      <c r="J667" s="24"/>
      <c r="K667" s="24"/>
      <c r="L667" s="58">
        <f>IF(K667&gt;=0,K667,0)</f>
        <v>0</v>
      </c>
      <c r="M667" s="58">
        <f>IF(K667&lt;=0,K667,0)</f>
        <v>0</v>
      </c>
      <c r="N667" s="58">
        <f>L667+-M667</f>
        <v>0</v>
      </c>
      <c r="O667" s="19"/>
      <c r="P667" s="19">
        <f t="shared" si="25"/>
        <v>0</v>
      </c>
      <c r="Q667" s="19">
        <f t="shared" si="24"/>
        <v>0</v>
      </c>
    </row>
    <row r="668" spans="2:17" x14ac:dyDescent="0.2">
      <c r="B668" s="21"/>
      <c r="C668" s="22"/>
      <c r="D668" s="23"/>
      <c r="E668" s="24"/>
      <c r="F668" s="24"/>
      <c r="G668" s="24"/>
      <c r="H668" s="24"/>
      <c r="I668" s="24"/>
      <c r="J668" s="24"/>
      <c r="K668" s="24"/>
      <c r="L668" s="58">
        <f>IF(K668&gt;=0,K668,0)</f>
        <v>0</v>
      </c>
      <c r="M668" s="58">
        <f>IF(K668&lt;=0,K668,0)</f>
        <v>0</v>
      </c>
      <c r="N668" s="58">
        <f>L668+-M668</f>
        <v>0</v>
      </c>
      <c r="O668" s="19"/>
      <c r="P668" s="19">
        <f t="shared" si="25"/>
        <v>0</v>
      </c>
      <c r="Q668" s="19">
        <f t="shared" si="24"/>
        <v>0</v>
      </c>
    </row>
    <row r="669" spans="2:17" x14ac:dyDescent="0.2">
      <c r="B669" s="21"/>
      <c r="C669" s="22"/>
      <c r="D669" s="23"/>
      <c r="E669" s="24"/>
      <c r="F669" s="24"/>
      <c r="G669" s="24"/>
      <c r="H669" s="24"/>
      <c r="I669" s="24"/>
      <c r="J669" s="24"/>
      <c r="K669" s="24"/>
      <c r="L669" s="58">
        <f>IF(K669&gt;=0,K669,0)</f>
        <v>0</v>
      </c>
      <c r="M669" s="58">
        <f>IF(K669&lt;=0,K669,0)</f>
        <v>0</v>
      </c>
      <c r="N669" s="58">
        <f>L669+-M669</f>
        <v>0</v>
      </c>
      <c r="O669" s="19"/>
      <c r="P669" s="19">
        <f t="shared" si="25"/>
        <v>0</v>
      </c>
      <c r="Q669" s="19">
        <f t="shared" si="24"/>
        <v>0</v>
      </c>
    </row>
    <row r="670" spans="2:17" x14ac:dyDescent="0.2">
      <c r="B670" s="21"/>
      <c r="C670" s="22"/>
      <c r="D670" s="23"/>
      <c r="E670" s="24"/>
      <c r="F670" s="24"/>
      <c r="G670" s="24"/>
      <c r="H670" s="24"/>
      <c r="I670" s="24"/>
      <c r="J670" s="24"/>
      <c r="K670" s="24"/>
      <c r="L670" s="58">
        <f>IF(K670&gt;=0,K670,0)</f>
        <v>0</v>
      </c>
      <c r="M670" s="58">
        <f>IF(K670&lt;=0,K670,0)</f>
        <v>0</v>
      </c>
      <c r="N670" s="58">
        <f>L670+-M670</f>
        <v>0</v>
      </c>
      <c r="O670" s="19"/>
      <c r="P670" s="19">
        <f t="shared" si="25"/>
        <v>0</v>
      </c>
      <c r="Q670" s="19">
        <f t="shared" si="24"/>
        <v>0</v>
      </c>
    </row>
    <row r="671" spans="2:17" x14ac:dyDescent="0.2">
      <c r="B671" s="21"/>
      <c r="C671" s="22"/>
      <c r="D671" s="23"/>
      <c r="E671" s="24"/>
      <c r="F671" s="24"/>
      <c r="G671" s="24"/>
      <c r="H671" s="24"/>
      <c r="I671" s="24"/>
      <c r="J671" s="24"/>
      <c r="K671" s="24"/>
      <c r="L671" s="58">
        <f>IF(K671&gt;=0,K671,0)</f>
        <v>0</v>
      </c>
      <c r="M671" s="58">
        <f>IF(K671&lt;=0,K671,0)</f>
        <v>0</v>
      </c>
      <c r="N671" s="58">
        <f>L671+-M671</f>
        <v>0</v>
      </c>
      <c r="O671" s="19"/>
      <c r="P671" s="19">
        <f t="shared" si="25"/>
        <v>0</v>
      </c>
      <c r="Q671" s="19">
        <f t="shared" si="24"/>
        <v>0</v>
      </c>
    </row>
    <row r="672" spans="2:17" x14ac:dyDescent="0.2">
      <c r="B672" s="21"/>
      <c r="C672" s="22"/>
      <c r="D672" s="23"/>
      <c r="E672" s="24"/>
      <c r="F672" s="24"/>
      <c r="G672" s="24"/>
      <c r="H672" s="24"/>
      <c r="I672" s="24"/>
      <c r="J672" s="24"/>
      <c r="K672" s="24"/>
      <c r="L672" s="58">
        <f>IF(K672&gt;=0,K672,0)</f>
        <v>0</v>
      </c>
      <c r="M672" s="58">
        <f>IF(K672&lt;=0,K672,0)</f>
        <v>0</v>
      </c>
      <c r="N672" s="58">
        <f>L672+-M672</f>
        <v>0</v>
      </c>
      <c r="O672" s="19"/>
      <c r="P672" s="19">
        <f t="shared" si="25"/>
        <v>0</v>
      </c>
      <c r="Q672" s="19">
        <f t="shared" si="24"/>
        <v>0</v>
      </c>
    </row>
    <row r="673" spans="2:17" x14ac:dyDescent="0.2">
      <c r="B673" s="21"/>
      <c r="C673" s="22"/>
      <c r="D673" s="23"/>
      <c r="E673" s="24"/>
      <c r="F673" s="24"/>
      <c r="G673" s="24"/>
      <c r="H673" s="24"/>
      <c r="I673" s="24"/>
      <c r="J673" s="24"/>
      <c r="K673" s="24"/>
      <c r="L673" s="58">
        <f>IF(K673&gt;=0,K673,0)</f>
        <v>0</v>
      </c>
      <c r="M673" s="58">
        <f>IF(K673&lt;=0,K673,0)</f>
        <v>0</v>
      </c>
      <c r="N673" s="58">
        <f>L673+-M673</f>
        <v>0</v>
      </c>
      <c r="O673" s="19"/>
      <c r="P673" s="19">
        <f t="shared" si="25"/>
        <v>0</v>
      </c>
      <c r="Q673" s="19">
        <f t="shared" si="24"/>
        <v>0</v>
      </c>
    </row>
    <row r="674" spans="2:17" x14ac:dyDescent="0.2">
      <c r="B674" s="21"/>
      <c r="C674" s="22"/>
      <c r="D674" s="23"/>
      <c r="E674" s="24"/>
      <c r="F674" s="24"/>
      <c r="G674" s="24"/>
      <c r="H674" s="24"/>
      <c r="I674" s="24"/>
      <c r="J674" s="24"/>
      <c r="K674" s="24"/>
      <c r="L674" s="58">
        <f>IF(K674&gt;=0,K674,0)</f>
        <v>0</v>
      </c>
      <c r="M674" s="58">
        <f>IF(K674&lt;=0,K674,0)</f>
        <v>0</v>
      </c>
      <c r="N674" s="58">
        <f>L674+-M674</f>
        <v>0</v>
      </c>
      <c r="O674" s="19"/>
      <c r="P674" s="19">
        <f t="shared" si="25"/>
        <v>0</v>
      </c>
      <c r="Q674" s="19">
        <f t="shared" si="24"/>
        <v>0</v>
      </c>
    </row>
    <row r="675" spans="2:17" x14ac:dyDescent="0.2">
      <c r="B675" s="21"/>
      <c r="C675" s="22"/>
      <c r="D675" s="23"/>
      <c r="E675" s="24"/>
      <c r="F675" s="24"/>
      <c r="G675" s="24"/>
      <c r="H675" s="24"/>
      <c r="I675" s="24"/>
      <c r="J675" s="24"/>
      <c r="K675" s="24"/>
      <c r="L675" s="58">
        <f>IF(K675&gt;=0,K675,0)</f>
        <v>0</v>
      </c>
      <c r="M675" s="58">
        <f>IF(K675&lt;=0,K675,0)</f>
        <v>0</v>
      </c>
      <c r="N675" s="58">
        <f>L675+-M675</f>
        <v>0</v>
      </c>
      <c r="O675" s="19"/>
      <c r="P675" s="19">
        <f t="shared" si="25"/>
        <v>0</v>
      </c>
      <c r="Q675" s="19">
        <f t="shared" si="24"/>
        <v>0</v>
      </c>
    </row>
    <row r="676" spans="2:17" x14ac:dyDescent="0.2">
      <c r="B676" s="21"/>
      <c r="C676" s="22"/>
      <c r="D676" s="23"/>
      <c r="E676" s="24"/>
      <c r="F676" s="24"/>
      <c r="G676" s="24"/>
      <c r="H676" s="24"/>
      <c r="I676" s="24"/>
      <c r="J676" s="24"/>
      <c r="K676" s="24"/>
      <c r="L676" s="58">
        <f>IF(K676&gt;=0,K676,0)</f>
        <v>0</v>
      </c>
      <c r="M676" s="58">
        <f>IF(K676&lt;=0,K676,0)</f>
        <v>0</v>
      </c>
      <c r="N676" s="58">
        <f>L676+-M676</f>
        <v>0</v>
      </c>
      <c r="O676" s="19"/>
      <c r="P676" s="19">
        <f t="shared" si="25"/>
        <v>0</v>
      </c>
      <c r="Q676" s="19">
        <f t="shared" si="24"/>
        <v>0</v>
      </c>
    </row>
    <row r="677" spans="2:17" x14ac:dyDescent="0.2">
      <c r="B677" s="21"/>
      <c r="C677" s="22"/>
      <c r="D677" s="23"/>
      <c r="E677" s="24"/>
      <c r="F677" s="24"/>
      <c r="G677" s="24"/>
      <c r="H677" s="24"/>
      <c r="I677" s="24"/>
      <c r="J677" s="24"/>
      <c r="K677" s="24"/>
      <c r="L677" s="58">
        <f>IF(K677&gt;=0,K677,0)</f>
        <v>0</v>
      </c>
      <c r="M677" s="58">
        <f>IF(K677&lt;=0,K677,0)</f>
        <v>0</v>
      </c>
      <c r="N677" s="58">
        <f>L677+-M677</f>
        <v>0</v>
      </c>
      <c r="O677" s="19"/>
      <c r="P677" s="19">
        <f t="shared" si="25"/>
        <v>0</v>
      </c>
      <c r="Q677" s="19">
        <f t="shared" si="24"/>
        <v>0</v>
      </c>
    </row>
    <row r="678" spans="2:17" x14ac:dyDescent="0.2">
      <c r="B678" s="21"/>
      <c r="C678" s="22"/>
      <c r="D678" s="23"/>
      <c r="E678" s="24"/>
      <c r="F678" s="24"/>
      <c r="G678" s="24"/>
      <c r="H678" s="24"/>
      <c r="I678" s="24"/>
      <c r="J678" s="24"/>
      <c r="K678" s="24"/>
      <c r="L678" s="58">
        <f>IF(K678&gt;=0,K678,0)</f>
        <v>0</v>
      </c>
      <c r="M678" s="58">
        <f>IF(K678&lt;=0,K678,0)</f>
        <v>0</v>
      </c>
      <c r="N678" s="58">
        <f>L678+-M678</f>
        <v>0</v>
      </c>
      <c r="O678" s="19"/>
      <c r="P678" s="19">
        <f t="shared" si="25"/>
        <v>0</v>
      </c>
      <c r="Q678" s="19">
        <f t="shared" si="24"/>
        <v>0</v>
      </c>
    </row>
    <row r="679" spans="2:17" x14ac:dyDescent="0.2">
      <c r="B679" s="21"/>
      <c r="C679" s="22"/>
      <c r="D679" s="23"/>
      <c r="E679" s="24"/>
      <c r="F679" s="24"/>
      <c r="G679" s="24"/>
      <c r="H679" s="24"/>
      <c r="I679" s="24"/>
      <c r="J679" s="24"/>
      <c r="K679" s="24"/>
      <c r="L679" s="58">
        <f>IF(K679&gt;=0,K679,0)</f>
        <v>0</v>
      </c>
      <c r="M679" s="58">
        <f>IF(K679&lt;=0,K679,0)</f>
        <v>0</v>
      </c>
      <c r="N679" s="58">
        <f>L679+-M679</f>
        <v>0</v>
      </c>
      <c r="O679" s="19"/>
      <c r="P679" s="19">
        <f t="shared" si="25"/>
        <v>0</v>
      </c>
      <c r="Q679" s="19">
        <f t="shared" si="24"/>
        <v>0</v>
      </c>
    </row>
    <row r="680" spans="2:17" x14ac:dyDescent="0.2">
      <c r="B680" s="21"/>
      <c r="C680" s="22"/>
      <c r="D680" s="23"/>
      <c r="E680" s="24"/>
      <c r="F680" s="24"/>
      <c r="G680" s="24"/>
      <c r="H680" s="24"/>
      <c r="I680" s="24"/>
      <c r="J680" s="24"/>
      <c r="K680" s="24"/>
      <c r="L680" s="58">
        <f>IF(K680&gt;=0,K680,0)</f>
        <v>0</v>
      </c>
      <c r="M680" s="58">
        <f>IF(K680&lt;=0,K680,0)</f>
        <v>0</v>
      </c>
      <c r="N680" s="58">
        <f>L680+-M680</f>
        <v>0</v>
      </c>
      <c r="O680" s="19"/>
      <c r="P680" s="19">
        <f t="shared" si="25"/>
        <v>0</v>
      </c>
      <c r="Q680" s="19">
        <f t="shared" si="24"/>
        <v>0</v>
      </c>
    </row>
    <row r="681" spans="2:17" x14ac:dyDescent="0.2">
      <c r="B681" s="21"/>
      <c r="C681" s="22"/>
      <c r="D681" s="23"/>
      <c r="E681" s="24"/>
      <c r="F681" s="24"/>
      <c r="G681" s="24"/>
      <c r="H681" s="24"/>
      <c r="I681" s="24"/>
      <c r="J681" s="24"/>
      <c r="K681" s="24"/>
      <c r="L681" s="58">
        <f>IF(K681&gt;=0,K681,0)</f>
        <v>0</v>
      </c>
      <c r="M681" s="58">
        <f>IF(K681&lt;=0,K681,0)</f>
        <v>0</v>
      </c>
      <c r="N681" s="58">
        <f>L681+-M681</f>
        <v>0</v>
      </c>
      <c r="O681" s="19"/>
      <c r="P681" s="19">
        <f t="shared" si="25"/>
        <v>0</v>
      </c>
      <c r="Q681" s="19">
        <f t="shared" si="24"/>
        <v>0</v>
      </c>
    </row>
    <row r="682" spans="2:17" x14ac:dyDescent="0.2">
      <c r="B682" s="21"/>
      <c r="C682" s="22"/>
      <c r="D682" s="23"/>
      <c r="E682" s="24"/>
      <c r="F682" s="24"/>
      <c r="G682" s="24"/>
      <c r="H682" s="24"/>
      <c r="I682" s="24"/>
      <c r="J682" s="24"/>
      <c r="K682" s="24"/>
      <c r="L682" s="58">
        <f>IF(K682&gt;=0,K682,0)</f>
        <v>0</v>
      </c>
      <c r="M682" s="58">
        <f>IF(K682&lt;=0,K682,0)</f>
        <v>0</v>
      </c>
      <c r="N682" s="58">
        <f>L682+-M682</f>
        <v>0</v>
      </c>
      <c r="O682" s="19"/>
      <c r="P682" s="19">
        <f t="shared" si="25"/>
        <v>0</v>
      </c>
      <c r="Q682" s="19">
        <f t="shared" si="24"/>
        <v>0</v>
      </c>
    </row>
    <row r="683" spans="2:17" x14ac:dyDescent="0.2">
      <c r="B683" s="21"/>
      <c r="C683" s="22"/>
      <c r="D683" s="23"/>
      <c r="E683" s="24"/>
      <c r="F683" s="24"/>
      <c r="G683" s="24"/>
      <c r="H683" s="24"/>
      <c r="I683" s="24"/>
      <c r="J683" s="24"/>
      <c r="K683" s="24"/>
      <c r="L683" s="58">
        <f>IF(K683&gt;=0,K683,0)</f>
        <v>0</v>
      </c>
      <c r="M683" s="58">
        <f>IF(K683&lt;=0,K683,0)</f>
        <v>0</v>
      </c>
      <c r="N683" s="58">
        <f>L683+-M683</f>
        <v>0</v>
      </c>
      <c r="O683" s="19"/>
      <c r="P683" s="19">
        <f t="shared" si="25"/>
        <v>0</v>
      </c>
      <c r="Q683" s="19">
        <f t="shared" si="24"/>
        <v>0</v>
      </c>
    </row>
    <row r="684" spans="2:17" x14ac:dyDescent="0.2">
      <c r="B684" s="21"/>
      <c r="C684" s="22"/>
      <c r="D684" s="23"/>
      <c r="E684" s="24"/>
      <c r="F684" s="24"/>
      <c r="G684" s="24"/>
      <c r="H684" s="24"/>
      <c r="I684" s="24"/>
      <c r="J684" s="24"/>
      <c r="K684" s="24"/>
      <c r="L684" s="58">
        <f>IF(K684&gt;=0,K684,0)</f>
        <v>0</v>
      </c>
      <c r="M684" s="58">
        <f>IF(K684&lt;=0,K684,0)</f>
        <v>0</v>
      </c>
      <c r="N684" s="58">
        <f>L684+-M684</f>
        <v>0</v>
      </c>
      <c r="O684" s="19"/>
      <c r="P684" s="19">
        <f t="shared" si="25"/>
        <v>0</v>
      </c>
      <c r="Q684" s="19">
        <f t="shared" si="24"/>
        <v>0</v>
      </c>
    </row>
    <row r="685" spans="2:17" x14ac:dyDescent="0.2">
      <c r="B685" s="21"/>
      <c r="C685" s="22"/>
      <c r="D685" s="23"/>
      <c r="E685" s="24"/>
      <c r="F685" s="24"/>
      <c r="G685" s="24"/>
      <c r="H685" s="24"/>
      <c r="I685" s="24"/>
      <c r="J685" s="24"/>
      <c r="K685" s="24"/>
      <c r="L685" s="58">
        <f>IF(K685&gt;=0,K685,0)</f>
        <v>0</v>
      </c>
      <c r="M685" s="58">
        <f>IF(K685&lt;=0,K685,0)</f>
        <v>0</v>
      </c>
      <c r="N685" s="58">
        <f>L685+-M685</f>
        <v>0</v>
      </c>
      <c r="O685" s="19"/>
      <c r="P685" s="19">
        <f t="shared" si="25"/>
        <v>0</v>
      </c>
      <c r="Q685" s="19">
        <f t="shared" si="24"/>
        <v>0</v>
      </c>
    </row>
    <row r="686" spans="2:17" x14ac:dyDescent="0.2">
      <c r="B686" s="21"/>
      <c r="C686" s="22"/>
      <c r="D686" s="23"/>
      <c r="E686" s="24"/>
      <c r="F686" s="24"/>
      <c r="G686" s="24"/>
      <c r="H686" s="24"/>
      <c r="I686" s="24"/>
      <c r="J686" s="24"/>
      <c r="K686" s="24"/>
      <c r="L686" s="58">
        <f>IF(K686&gt;=0,K686,0)</f>
        <v>0</v>
      </c>
      <c r="M686" s="58">
        <f>IF(K686&lt;=0,K686,0)</f>
        <v>0</v>
      </c>
      <c r="N686" s="58">
        <f>L686+-M686</f>
        <v>0</v>
      </c>
      <c r="O686" s="19"/>
      <c r="P686" s="19">
        <f t="shared" si="25"/>
        <v>0</v>
      </c>
      <c r="Q686" s="19">
        <f t="shared" si="24"/>
        <v>0</v>
      </c>
    </row>
    <row r="687" spans="2:17" x14ac:dyDescent="0.2">
      <c r="B687" s="21"/>
      <c r="C687" s="22"/>
      <c r="D687" s="23"/>
      <c r="E687" s="24"/>
      <c r="F687" s="24"/>
      <c r="G687" s="24"/>
      <c r="H687" s="24"/>
      <c r="I687" s="24"/>
      <c r="J687" s="24"/>
      <c r="K687" s="24"/>
      <c r="L687" s="58">
        <f>IF(K687&gt;=0,K687,0)</f>
        <v>0</v>
      </c>
      <c r="M687" s="58">
        <f>IF(K687&lt;=0,K687,0)</f>
        <v>0</v>
      </c>
      <c r="N687" s="58">
        <f>L687+-M687</f>
        <v>0</v>
      </c>
      <c r="O687" s="19"/>
      <c r="P687" s="19">
        <f t="shared" si="25"/>
        <v>0</v>
      </c>
      <c r="Q687" s="19">
        <f t="shared" si="24"/>
        <v>0</v>
      </c>
    </row>
    <row r="688" spans="2:17" x14ac:dyDescent="0.2">
      <c r="B688" s="21"/>
      <c r="C688" s="22"/>
      <c r="D688" s="23"/>
      <c r="E688" s="24"/>
      <c r="F688" s="24"/>
      <c r="G688" s="24"/>
      <c r="H688" s="24"/>
      <c r="I688" s="24"/>
      <c r="J688" s="24"/>
      <c r="K688" s="24"/>
      <c r="L688" s="58">
        <f>IF(K688&gt;=0,K688,0)</f>
        <v>0</v>
      </c>
      <c r="M688" s="58">
        <f>IF(K688&lt;=0,K688,0)</f>
        <v>0</v>
      </c>
      <c r="N688" s="58">
        <f>L688+-M688</f>
        <v>0</v>
      </c>
      <c r="O688" s="19"/>
      <c r="P688" s="19">
        <f t="shared" si="25"/>
        <v>0</v>
      </c>
      <c r="Q688" s="19">
        <f t="shared" si="24"/>
        <v>0</v>
      </c>
    </row>
    <row r="689" spans="2:17" x14ac:dyDescent="0.2">
      <c r="B689" s="21"/>
      <c r="C689" s="22"/>
      <c r="D689" s="23"/>
      <c r="E689" s="24"/>
      <c r="F689" s="24"/>
      <c r="G689" s="24"/>
      <c r="H689" s="24"/>
      <c r="I689" s="24"/>
      <c r="J689" s="24"/>
      <c r="K689" s="24"/>
      <c r="L689" s="58">
        <f>IF(K689&gt;=0,K689,0)</f>
        <v>0</v>
      </c>
      <c r="M689" s="58">
        <f>IF(K689&lt;=0,K689,0)</f>
        <v>0</v>
      </c>
      <c r="N689" s="58">
        <f>L689+-M689</f>
        <v>0</v>
      </c>
      <c r="O689" s="19"/>
      <c r="P689" s="19">
        <f t="shared" si="25"/>
        <v>0</v>
      </c>
      <c r="Q689" s="19">
        <f t="shared" si="24"/>
        <v>0</v>
      </c>
    </row>
    <row r="690" spans="2:17" x14ac:dyDescent="0.2">
      <c r="B690" s="21"/>
      <c r="C690" s="22"/>
      <c r="D690" s="23"/>
      <c r="E690" s="24"/>
      <c r="F690" s="24"/>
      <c r="G690" s="24"/>
      <c r="H690" s="24"/>
      <c r="I690" s="24"/>
      <c r="J690" s="24"/>
      <c r="K690" s="24"/>
      <c r="L690" s="58">
        <f>IF(K690&gt;=0,K690,0)</f>
        <v>0</v>
      </c>
      <c r="M690" s="58">
        <f>IF(K690&lt;=0,K690,0)</f>
        <v>0</v>
      </c>
      <c r="N690" s="58">
        <f>L690+-M690</f>
        <v>0</v>
      </c>
      <c r="O690" s="19"/>
      <c r="P690" s="19">
        <f t="shared" si="25"/>
        <v>0</v>
      </c>
      <c r="Q690" s="19">
        <f t="shared" si="24"/>
        <v>0</v>
      </c>
    </row>
    <row r="691" spans="2:17" x14ac:dyDescent="0.2">
      <c r="B691" s="21"/>
      <c r="C691" s="22"/>
      <c r="D691" s="23"/>
      <c r="E691" s="24"/>
      <c r="F691" s="24"/>
      <c r="G691" s="24"/>
      <c r="H691" s="24"/>
      <c r="I691" s="24"/>
      <c r="J691" s="24"/>
      <c r="K691" s="24"/>
      <c r="L691" s="58">
        <f>IF(K691&gt;=0,K691,0)</f>
        <v>0</v>
      </c>
      <c r="M691" s="58">
        <f>IF(K691&lt;=0,K691,0)</f>
        <v>0</v>
      </c>
      <c r="N691" s="58">
        <f>L691+-M691</f>
        <v>0</v>
      </c>
      <c r="O691" s="19"/>
      <c r="P691" s="19">
        <f t="shared" si="25"/>
        <v>0</v>
      </c>
      <c r="Q691" s="19">
        <f t="shared" si="24"/>
        <v>0</v>
      </c>
    </row>
    <row r="692" spans="2:17" x14ac:dyDescent="0.2">
      <c r="B692" s="21"/>
      <c r="C692" s="22"/>
      <c r="D692" s="23"/>
      <c r="E692" s="24"/>
      <c r="F692" s="24"/>
      <c r="G692" s="24"/>
      <c r="H692" s="24"/>
      <c r="I692" s="24"/>
      <c r="J692" s="24"/>
      <c r="K692" s="24"/>
      <c r="L692" s="58">
        <f>IF(K692&gt;=0,K692,0)</f>
        <v>0</v>
      </c>
      <c r="M692" s="58">
        <f>IF(K692&lt;=0,K692,0)</f>
        <v>0</v>
      </c>
      <c r="N692" s="58">
        <f>L692+-M692</f>
        <v>0</v>
      </c>
      <c r="O692" s="19"/>
      <c r="P692" s="19">
        <f t="shared" si="25"/>
        <v>0</v>
      </c>
      <c r="Q692" s="19">
        <f t="shared" si="24"/>
        <v>0</v>
      </c>
    </row>
    <row r="693" spans="2:17" x14ac:dyDescent="0.2">
      <c r="B693" s="21"/>
      <c r="C693" s="22"/>
      <c r="D693" s="23"/>
      <c r="E693" s="24"/>
      <c r="F693" s="24"/>
      <c r="G693" s="24"/>
      <c r="H693" s="24"/>
      <c r="I693" s="24"/>
      <c r="J693" s="24"/>
      <c r="K693" s="24"/>
      <c r="L693" s="58">
        <f>IF(K693&gt;=0,K693,0)</f>
        <v>0</v>
      </c>
      <c r="M693" s="58">
        <f>IF(K693&lt;=0,K693,0)</f>
        <v>0</v>
      </c>
      <c r="N693" s="58">
        <f>L693+-M693</f>
        <v>0</v>
      </c>
      <c r="O693" s="19"/>
      <c r="P693" s="19">
        <f t="shared" si="25"/>
        <v>0</v>
      </c>
      <c r="Q693" s="19">
        <f t="shared" si="24"/>
        <v>0</v>
      </c>
    </row>
    <row r="694" spans="2:17" x14ac:dyDescent="0.2">
      <c r="B694" s="21"/>
      <c r="C694" s="22"/>
      <c r="D694" s="23"/>
      <c r="E694" s="24"/>
      <c r="F694" s="24"/>
      <c r="G694" s="24"/>
      <c r="H694" s="24"/>
      <c r="I694" s="24"/>
      <c r="J694" s="24"/>
      <c r="K694" s="24"/>
      <c r="L694" s="58">
        <f>IF(K694&gt;=0,K694,0)</f>
        <v>0</v>
      </c>
      <c r="M694" s="58">
        <f>IF(K694&lt;=0,K694,0)</f>
        <v>0</v>
      </c>
      <c r="N694" s="58">
        <f>L694+-M694</f>
        <v>0</v>
      </c>
      <c r="O694" s="19"/>
      <c r="P694" s="19">
        <f t="shared" si="25"/>
        <v>0</v>
      </c>
      <c r="Q694" s="19">
        <f t="shared" si="24"/>
        <v>0</v>
      </c>
    </row>
    <row r="695" spans="2:17" x14ac:dyDescent="0.2">
      <c r="B695" s="21"/>
      <c r="C695" s="22"/>
      <c r="D695" s="23"/>
      <c r="E695" s="24"/>
      <c r="F695" s="24"/>
      <c r="G695" s="24"/>
      <c r="H695" s="24"/>
      <c r="I695" s="24"/>
      <c r="J695" s="24"/>
      <c r="K695" s="24"/>
      <c r="L695" s="58">
        <f>IF(K695&gt;=0,K695,0)</f>
        <v>0</v>
      </c>
      <c r="M695" s="58">
        <f>IF(K695&lt;=0,K695,0)</f>
        <v>0</v>
      </c>
      <c r="N695" s="58">
        <f>L695+-M695</f>
        <v>0</v>
      </c>
      <c r="O695" s="19"/>
      <c r="P695" s="19">
        <f t="shared" si="25"/>
        <v>0</v>
      </c>
      <c r="Q695" s="19">
        <f t="shared" si="24"/>
        <v>0</v>
      </c>
    </row>
    <row r="696" spans="2:17" x14ac:dyDescent="0.2">
      <c r="B696" s="21"/>
      <c r="C696" s="22"/>
      <c r="D696" s="23"/>
      <c r="E696" s="24"/>
      <c r="F696" s="24"/>
      <c r="G696" s="24"/>
      <c r="H696" s="24"/>
      <c r="I696" s="24"/>
      <c r="J696" s="24"/>
      <c r="K696" s="24"/>
      <c r="L696" s="58">
        <f>IF(K696&gt;=0,K696,0)</f>
        <v>0</v>
      </c>
      <c r="M696" s="58">
        <f>IF(K696&lt;=0,K696,0)</f>
        <v>0</v>
      </c>
      <c r="N696" s="58">
        <f>L696+-M696</f>
        <v>0</v>
      </c>
      <c r="O696" s="19"/>
      <c r="P696" s="19">
        <f t="shared" si="25"/>
        <v>0</v>
      </c>
      <c r="Q696" s="19">
        <f t="shared" si="24"/>
        <v>0</v>
      </c>
    </row>
    <row r="697" spans="2:17" x14ac:dyDescent="0.2">
      <c r="B697" s="21"/>
      <c r="C697" s="22"/>
      <c r="D697" s="23"/>
      <c r="E697" s="24"/>
      <c r="F697" s="24"/>
      <c r="G697" s="24"/>
      <c r="H697" s="24"/>
      <c r="I697" s="24"/>
      <c r="J697" s="24"/>
      <c r="K697" s="24"/>
      <c r="L697" s="58">
        <f>IF(K697&gt;=0,K697,0)</f>
        <v>0</v>
      </c>
      <c r="M697" s="58">
        <f>IF(K697&lt;=0,K697,0)</f>
        <v>0</v>
      </c>
      <c r="N697" s="58">
        <f>L697+-M697</f>
        <v>0</v>
      </c>
      <c r="O697" s="19"/>
      <c r="P697" s="19">
        <f t="shared" si="25"/>
        <v>0</v>
      </c>
      <c r="Q697" s="19">
        <f t="shared" si="24"/>
        <v>0</v>
      </c>
    </row>
    <row r="698" spans="2:17" x14ac:dyDescent="0.2">
      <c r="B698" s="21"/>
      <c r="C698" s="22"/>
      <c r="D698" s="23"/>
      <c r="E698" s="24"/>
      <c r="F698" s="24"/>
      <c r="G698" s="24"/>
      <c r="H698" s="24"/>
      <c r="I698" s="24"/>
      <c r="J698" s="24"/>
      <c r="K698" s="24"/>
      <c r="L698" s="58">
        <f>IF(K698&gt;=0,K698,0)</f>
        <v>0</v>
      </c>
      <c r="M698" s="58">
        <f>IF(K698&lt;=0,K698,0)</f>
        <v>0</v>
      </c>
      <c r="N698" s="58">
        <f>L698+-M698</f>
        <v>0</v>
      </c>
      <c r="O698" s="19"/>
      <c r="P698" s="19">
        <f t="shared" si="25"/>
        <v>0</v>
      </c>
      <c r="Q698" s="19">
        <f t="shared" si="24"/>
        <v>0</v>
      </c>
    </row>
    <row r="699" spans="2:17" x14ac:dyDescent="0.2">
      <c r="B699" s="21"/>
      <c r="C699" s="22"/>
      <c r="D699" s="23"/>
      <c r="E699" s="24"/>
      <c r="F699" s="24"/>
      <c r="G699" s="24"/>
      <c r="H699" s="24"/>
      <c r="I699" s="24"/>
      <c r="J699" s="24"/>
      <c r="K699" s="24"/>
      <c r="L699" s="58">
        <f>IF(K699&gt;=0,K699,0)</f>
        <v>0</v>
      </c>
      <c r="M699" s="58">
        <f>IF(K699&lt;=0,K699,0)</f>
        <v>0</v>
      </c>
      <c r="N699" s="58">
        <f>L699+-M699</f>
        <v>0</v>
      </c>
      <c r="O699" s="19"/>
      <c r="P699" s="19">
        <f t="shared" si="25"/>
        <v>0</v>
      </c>
      <c r="Q699" s="19">
        <f t="shared" si="24"/>
        <v>0</v>
      </c>
    </row>
    <row r="700" spans="2:17" x14ac:dyDescent="0.2">
      <c r="B700" s="21"/>
      <c r="C700" s="22"/>
      <c r="D700" s="23"/>
      <c r="E700" s="24"/>
      <c r="F700" s="24"/>
      <c r="G700" s="24"/>
      <c r="H700" s="24"/>
      <c r="I700" s="24"/>
      <c r="J700" s="24"/>
      <c r="K700" s="24"/>
      <c r="L700" s="58">
        <f>IF(K700&gt;=0,K700,0)</f>
        <v>0</v>
      </c>
      <c r="M700" s="58">
        <f>IF(K700&lt;=0,K700,0)</f>
        <v>0</v>
      </c>
      <c r="N700" s="58">
        <f>L700+-M700</f>
        <v>0</v>
      </c>
      <c r="O700" s="19"/>
      <c r="P700" s="19">
        <f t="shared" si="25"/>
        <v>0</v>
      </c>
      <c r="Q700" s="19">
        <f t="shared" ref="Q700:Q763" si="26">P700+Q699</f>
        <v>0</v>
      </c>
    </row>
    <row r="701" spans="2:17" x14ac:dyDescent="0.2">
      <c r="B701" s="21"/>
      <c r="C701" s="22"/>
      <c r="D701" s="23"/>
      <c r="E701" s="24"/>
      <c r="F701" s="24"/>
      <c r="G701" s="24"/>
      <c r="H701" s="24"/>
      <c r="I701" s="24"/>
      <c r="J701" s="24"/>
      <c r="K701" s="24"/>
      <c r="L701" s="58">
        <f>IF(K701&gt;=0,K701,0)</f>
        <v>0</v>
      </c>
      <c r="M701" s="58">
        <f>IF(K701&lt;=0,K701,0)</f>
        <v>0</v>
      </c>
      <c r="N701" s="58">
        <f>L701+-M701</f>
        <v>0</v>
      </c>
      <c r="O701" s="19"/>
      <c r="P701" s="19">
        <f t="shared" si="25"/>
        <v>0</v>
      </c>
      <c r="Q701" s="19">
        <f t="shared" si="26"/>
        <v>0</v>
      </c>
    </row>
    <row r="702" spans="2:17" x14ac:dyDescent="0.2">
      <c r="B702" s="21"/>
      <c r="C702" s="22"/>
      <c r="D702" s="23"/>
      <c r="E702" s="24"/>
      <c r="F702" s="24"/>
      <c r="G702" s="24"/>
      <c r="H702" s="24"/>
      <c r="I702" s="24"/>
      <c r="J702" s="24"/>
      <c r="K702" s="24"/>
      <c r="L702" s="58">
        <f>IF(K702&gt;=0,K702,0)</f>
        <v>0</v>
      </c>
      <c r="M702" s="58">
        <f>IF(K702&lt;=0,K702,0)</f>
        <v>0</v>
      </c>
      <c r="N702" s="58">
        <f>L702+-M702</f>
        <v>0</v>
      </c>
      <c r="O702" s="19"/>
      <c r="P702" s="19">
        <f t="shared" si="25"/>
        <v>0</v>
      </c>
      <c r="Q702" s="19">
        <f t="shared" si="26"/>
        <v>0</v>
      </c>
    </row>
    <row r="703" spans="2:17" x14ac:dyDescent="0.2">
      <c r="B703" s="21"/>
      <c r="C703" s="22"/>
      <c r="D703" s="23"/>
      <c r="E703" s="24"/>
      <c r="F703" s="24"/>
      <c r="G703" s="24"/>
      <c r="H703" s="24"/>
      <c r="I703" s="24"/>
      <c r="J703" s="24"/>
      <c r="K703" s="24"/>
      <c r="L703" s="58">
        <f>IF(K703&gt;=0,K703,0)</f>
        <v>0</v>
      </c>
      <c r="M703" s="58">
        <f>IF(K703&lt;=0,K703,0)</f>
        <v>0</v>
      </c>
      <c r="N703" s="58">
        <f>L703+-M703</f>
        <v>0</v>
      </c>
      <c r="O703" s="19"/>
      <c r="P703" s="19">
        <f t="shared" si="25"/>
        <v>0</v>
      </c>
      <c r="Q703" s="19">
        <f t="shared" si="26"/>
        <v>0</v>
      </c>
    </row>
    <row r="704" spans="2:17" x14ac:dyDescent="0.2">
      <c r="B704" s="21"/>
      <c r="C704" s="22"/>
      <c r="D704" s="23"/>
      <c r="E704" s="24"/>
      <c r="F704" s="24"/>
      <c r="G704" s="24"/>
      <c r="H704" s="24"/>
      <c r="I704" s="24"/>
      <c r="J704" s="24"/>
      <c r="K704" s="24"/>
      <c r="L704" s="58">
        <f>IF(K704&gt;=0,K704,0)</f>
        <v>0</v>
      </c>
      <c r="M704" s="58">
        <f>IF(K704&lt;=0,K704,0)</f>
        <v>0</v>
      </c>
      <c r="N704" s="58">
        <f>L704+-M704</f>
        <v>0</v>
      </c>
      <c r="O704" s="19"/>
      <c r="P704" s="19">
        <f t="shared" si="25"/>
        <v>0</v>
      </c>
      <c r="Q704" s="19">
        <f t="shared" si="26"/>
        <v>0</v>
      </c>
    </row>
    <row r="705" spans="2:17" x14ac:dyDescent="0.2">
      <c r="B705" s="21"/>
      <c r="C705" s="22"/>
      <c r="D705" s="23"/>
      <c r="E705" s="24"/>
      <c r="F705" s="24"/>
      <c r="G705" s="24"/>
      <c r="H705" s="24"/>
      <c r="I705" s="24"/>
      <c r="J705" s="24"/>
      <c r="K705" s="24"/>
      <c r="L705" s="58">
        <f>IF(K705&gt;=0,K705,0)</f>
        <v>0</v>
      </c>
      <c r="M705" s="58">
        <f>IF(K705&lt;=0,K705,0)</f>
        <v>0</v>
      </c>
      <c r="N705" s="58">
        <f>L705+-M705</f>
        <v>0</v>
      </c>
      <c r="O705" s="19"/>
      <c r="P705" s="19">
        <f t="shared" si="25"/>
        <v>0</v>
      </c>
      <c r="Q705" s="19">
        <f t="shared" si="26"/>
        <v>0</v>
      </c>
    </row>
    <row r="706" spans="2:17" x14ac:dyDescent="0.2">
      <c r="B706" s="21"/>
      <c r="C706" s="22"/>
      <c r="D706" s="23"/>
      <c r="E706" s="24"/>
      <c r="F706" s="24"/>
      <c r="G706" s="24"/>
      <c r="H706" s="24"/>
      <c r="I706" s="24"/>
      <c r="J706" s="24"/>
      <c r="K706" s="24"/>
      <c r="L706" s="58">
        <f>IF(K706&gt;=0,K706,0)</f>
        <v>0</v>
      </c>
      <c r="M706" s="58">
        <f>IF(K706&lt;=0,K706,0)</f>
        <v>0</v>
      </c>
      <c r="N706" s="58">
        <f>L706+-M706</f>
        <v>0</v>
      </c>
      <c r="O706" s="19"/>
      <c r="P706" s="19">
        <f t="shared" si="25"/>
        <v>0</v>
      </c>
      <c r="Q706" s="19">
        <f t="shared" si="26"/>
        <v>0</v>
      </c>
    </row>
    <row r="707" spans="2:17" x14ac:dyDescent="0.2">
      <c r="B707" s="21"/>
      <c r="C707" s="22"/>
      <c r="D707" s="23"/>
      <c r="E707" s="24"/>
      <c r="F707" s="24"/>
      <c r="G707" s="24"/>
      <c r="H707" s="24"/>
      <c r="I707" s="24"/>
      <c r="J707" s="24"/>
      <c r="K707" s="24"/>
      <c r="L707" s="58">
        <f>IF(K707&gt;=0,K707,0)</f>
        <v>0</v>
      </c>
      <c r="M707" s="58">
        <f>IF(K707&lt;=0,K707,0)</f>
        <v>0</v>
      </c>
      <c r="N707" s="58">
        <f>L707+-M707</f>
        <v>0</v>
      </c>
      <c r="O707" s="19"/>
      <c r="P707" s="19">
        <f t="shared" si="25"/>
        <v>0</v>
      </c>
      <c r="Q707" s="19">
        <f t="shared" si="26"/>
        <v>0</v>
      </c>
    </row>
    <row r="708" spans="2:17" x14ac:dyDescent="0.2">
      <c r="B708" s="21"/>
      <c r="C708" s="22"/>
      <c r="D708" s="23"/>
      <c r="E708" s="24"/>
      <c r="F708" s="24"/>
      <c r="G708" s="24"/>
      <c r="H708" s="24"/>
      <c r="I708" s="24"/>
      <c r="J708" s="24"/>
      <c r="K708" s="24"/>
      <c r="L708" s="58">
        <f>IF(K708&gt;=0,K708,0)</f>
        <v>0</v>
      </c>
      <c r="M708" s="58">
        <f>IF(K708&lt;=0,K708,0)</f>
        <v>0</v>
      </c>
      <c r="N708" s="58">
        <f>L708+-M708</f>
        <v>0</v>
      </c>
      <c r="O708" s="19"/>
      <c r="P708" s="19">
        <f t="shared" si="25"/>
        <v>0</v>
      </c>
      <c r="Q708" s="19">
        <f t="shared" si="26"/>
        <v>0</v>
      </c>
    </row>
    <row r="709" spans="2:17" x14ac:dyDescent="0.2">
      <c r="B709" s="21"/>
      <c r="C709" s="22"/>
      <c r="D709" s="23"/>
      <c r="E709" s="24"/>
      <c r="F709" s="24"/>
      <c r="G709" s="24"/>
      <c r="H709" s="24"/>
      <c r="I709" s="24"/>
      <c r="J709" s="24"/>
      <c r="K709" s="24"/>
      <c r="L709" s="58">
        <f>IF(K709&gt;=0,K709,0)</f>
        <v>0</v>
      </c>
      <c r="M709" s="58">
        <f>IF(K709&lt;=0,K709,0)</f>
        <v>0</v>
      </c>
      <c r="N709" s="58">
        <f>L709+-M709</f>
        <v>0</v>
      </c>
      <c r="O709" s="19"/>
      <c r="P709" s="19">
        <f t="shared" si="25"/>
        <v>0</v>
      </c>
      <c r="Q709" s="19">
        <f t="shared" si="26"/>
        <v>0</v>
      </c>
    </row>
    <row r="710" spans="2:17" x14ac:dyDescent="0.2">
      <c r="B710" s="21"/>
      <c r="C710" s="22"/>
      <c r="D710" s="23"/>
      <c r="E710" s="24"/>
      <c r="F710" s="24"/>
      <c r="G710" s="24"/>
      <c r="H710" s="24"/>
      <c r="I710" s="24"/>
      <c r="J710" s="24"/>
      <c r="K710" s="24"/>
      <c r="L710" s="58">
        <f>IF(K710&gt;=0,K710,0)</f>
        <v>0</v>
      </c>
      <c r="M710" s="58">
        <f>IF(K710&lt;=0,K710,0)</f>
        <v>0</v>
      </c>
      <c r="N710" s="58">
        <f>L710+-M710</f>
        <v>0</v>
      </c>
      <c r="O710" s="19"/>
      <c r="P710" s="19">
        <f t="shared" si="25"/>
        <v>0</v>
      </c>
      <c r="Q710" s="19">
        <f t="shared" si="26"/>
        <v>0</v>
      </c>
    </row>
    <row r="711" spans="2:17" x14ac:dyDescent="0.2">
      <c r="B711" s="21"/>
      <c r="C711" s="22"/>
      <c r="D711" s="23"/>
      <c r="E711" s="24"/>
      <c r="F711" s="24"/>
      <c r="G711" s="24"/>
      <c r="H711" s="24"/>
      <c r="I711" s="24"/>
      <c r="J711" s="24"/>
      <c r="K711" s="24"/>
      <c r="L711" s="58">
        <f>IF(K711&gt;=0,K711,0)</f>
        <v>0</v>
      </c>
      <c r="M711" s="58">
        <f>IF(K711&lt;=0,K711,0)</f>
        <v>0</v>
      </c>
      <c r="N711" s="58">
        <f>L711+-M711</f>
        <v>0</v>
      </c>
      <c r="O711" s="19"/>
      <c r="P711" s="19">
        <f t="shared" ref="P711:P774" si="27">N711/$N$1055</f>
        <v>0</v>
      </c>
      <c r="Q711" s="19">
        <f t="shared" si="26"/>
        <v>0</v>
      </c>
    </row>
    <row r="712" spans="2:17" x14ac:dyDescent="0.2">
      <c r="B712" s="21"/>
      <c r="C712" s="22"/>
      <c r="D712" s="23"/>
      <c r="E712" s="24"/>
      <c r="F712" s="24"/>
      <c r="G712" s="24"/>
      <c r="H712" s="24"/>
      <c r="I712" s="24"/>
      <c r="J712" s="24"/>
      <c r="K712" s="24"/>
      <c r="L712" s="58">
        <f>IF(K712&gt;=0,K712,0)</f>
        <v>0</v>
      </c>
      <c r="M712" s="58">
        <f>IF(K712&lt;=0,K712,0)</f>
        <v>0</v>
      </c>
      <c r="N712" s="58">
        <f>L712+-M712</f>
        <v>0</v>
      </c>
      <c r="O712" s="19"/>
      <c r="P712" s="19">
        <f t="shared" si="27"/>
        <v>0</v>
      </c>
      <c r="Q712" s="19">
        <f t="shared" si="26"/>
        <v>0</v>
      </c>
    </row>
    <row r="713" spans="2:17" x14ac:dyDescent="0.2">
      <c r="B713" s="21"/>
      <c r="C713" s="22"/>
      <c r="D713" s="23"/>
      <c r="E713" s="24"/>
      <c r="F713" s="24"/>
      <c r="G713" s="24"/>
      <c r="H713" s="24"/>
      <c r="I713" s="24"/>
      <c r="J713" s="24"/>
      <c r="K713" s="24"/>
      <c r="L713" s="58">
        <f>IF(K713&gt;=0,K713,0)</f>
        <v>0</v>
      </c>
      <c r="M713" s="58">
        <f>IF(K713&lt;=0,K713,0)</f>
        <v>0</v>
      </c>
      <c r="N713" s="58">
        <f>L713+-M713</f>
        <v>0</v>
      </c>
      <c r="O713" s="19"/>
      <c r="P713" s="19">
        <f t="shared" si="27"/>
        <v>0</v>
      </c>
      <c r="Q713" s="19">
        <f t="shared" si="26"/>
        <v>0</v>
      </c>
    </row>
    <row r="714" spans="2:17" x14ac:dyDescent="0.2">
      <c r="B714" s="21"/>
      <c r="C714" s="22"/>
      <c r="D714" s="23"/>
      <c r="E714" s="24"/>
      <c r="F714" s="24"/>
      <c r="G714" s="24"/>
      <c r="H714" s="24"/>
      <c r="I714" s="24"/>
      <c r="J714" s="24"/>
      <c r="K714" s="24"/>
      <c r="L714" s="58">
        <f>IF(K714&gt;=0,K714,0)</f>
        <v>0</v>
      </c>
      <c r="M714" s="58">
        <f>IF(K714&lt;=0,K714,0)</f>
        <v>0</v>
      </c>
      <c r="N714" s="58">
        <f>L714+-M714</f>
        <v>0</v>
      </c>
      <c r="O714" s="19"/>
      <c r="P714" s="19">
        <f t="shared" si="27"/>
        <v>0</v>
      </c>
      <c r="Q714" s="19">
        <f t="shared" si="26"/>
        <v>0</v>
      </c>
    </row>
    <row r="715" spans="2:17" x14ac:dyDescent="0.2">
      <c r="B715" s="21"/>
      <c r="C715" s="22"/>
      <c r="D715" s="23"/>
      <c r="E715" s="24"/>
      <c r="F715" s="24"/>
      <c r="G715" s="24"/>
      <c r="H715" s="24"/>
      <c r="I715" s="24"/>
      <c r="J715" s="24"/>
      <c r="K715" s="24"/>
      <c r="L715" s="58">
        <f>IF(K715&gt;=0,K715,0)</f>
        <v>0</v>
      </c>
      <c r="M715" s="58">
        <f>IF(K715&lt;=0,K715,0)</f>
        <v>0</v>
      </c>
      <c r="N715" s="58">
        <f>L715+-M715</f>
        <v>0</v>
      </c>
      <c r="O715" s="19"/>
      <c r="P715" s="19">
        <f t="shared" si="27"/>
        <v>0</v>
      </c>
      <c r="Q715" s="19">
        <f t="shared" si="26"/>
        <v>0</v>
      </c>
    </row>
    <row r="716" spans="2:17" x14ac:dyDescent="0.2">
      <c r="B716" s="21"/>
      <c r="C716" s="22"/>
      <c r="D716" s="23"/>
      <c r="E716" s="24"/>
      <c r="F716" s="24"/>
      <c r="G716" s="24"/>
      <c r="H716" s="24"/>
      <c r="I716" s="24"/>
      <c r="J716" s="24"/>
      <c r="K716" s="24"/>
      <c r="L716" s="58">
        <f>IF(K716&gt;=0,K716,0)</f>
        <v>0</v>
      </c>
      <c r="M716" s="58">
        <f>IF(K716&lt;=0,K716,0)</f>
        <v>0</v>
      </c>
      <c r="N716" s="58">
        <f>L716+-M716</f>
        <v>0</v>
      </c>
      <c r="O716" s="19"/>
      <c r="P716" s="19">
        <f t="shared" si="27"/>
        <v>0</v>
      </c>
      <c r="Q716" s="19">
        <f t="shared" si="26"/>
        <v>0</v>
      </c>
    </row>
    <row r="717" spans="2:17" x14ac:dyDescent="0.2">
      <c r="B717" s="21"/>
      <c r="C717" s="22"/>
      <c r="D717" s="23"/>
      <c r="E717" s="24"/>
      <c r="F717" s="24"/>
      <c r="G717" s="24"/>
      <c r="H717" s="24"/>
      <c r="I717" s="24"/>
      <c r="J717" s="24"/>
      <c r="K717" s="24"/>
      <c r="L717" s="58">
        <f>IF(K717&gt;=0,K717,0)</f>
        <v>0</v>
      </c>
      <c r="M717" s="58">
        <f>IF(K717&lt;=0,K717,0)</f>
        <v>0</v>
      </c>
      <c r="N717" s="58">
        <f>L717+-M717</f>
        <v>0</v>
      </c>
      <c r="O717" s="19"/>
      <c r="P717" s="19">
        <f t="shared" si="27"/>
        <v>0</v>
      </c>
      <c r="Q717" s="19">
        <f t="shared" si="26"/>
        <v>0</v>
      </c>
    </row>
    <row r="718" spans="2:17" x14ac:dyDescent="0.2">
      <c r="B718" s="21"/>
      <c r="C718" s="22"/>
      <c r="D718" s="23"/>
      <c r="E718" s="24"/>
      <c r="F718" s="24"/>
      <c r="G718" s="24"/>
      <c r="H718" s="24"/>
      <c r="I718" s="24"/>
      <c r="J718" s="24"/>
      <c r="K718" s="24"/>
      <c r="L718" s="58">
        <f>IF(K718&gt;=0,K718,0)</f>
        <v>0</v>
      </c>
      <c r="M718" s="58">
        <f>IF(K718&lt;=0,K718,0)</f>
        <v>0</v>
      </c>
      <c r="N718" s="58">
        <f>L718+-M718</f>
        <v>0</v>
      </c>
      <c r="O718" s="19"/>
      <c r="P718" s="19">
        <f t="shared" si="27"/>
        <v>0</v>
      </c>
      <c r="Q718" s="19">
        <f t="shared" si="26"/>
        <v>0</v>
      </c>
    </row>
    <row r="719" spans="2:17" x14ac:dyDescent="0.2">
      <c r="B719" s="21"/>
      <c r="C719" s="22"/>
      <c r="D719" s="23"/>
      <c r="E719" s="24"/>
      <c r="F719" s="24"/>
      <c r="G719" s="24"/>
      <c r="H719" s="24"/>
      <c r="I719" s="24"/>
      <c r="J719" s="24"/>
      <c r="K719" s="24"/>
      <c r="L719" s="58">
        <f>IF(K719&gt;=0,K719,0)</f>
        <v>0</v>
      </c>
      <c r="M719" s="58">
        <f>IF(K719&lt;=0,K719,0)</f>
        <v>0</v>
      </c>
      <c r="N719" s="58">
        <f>L719+-M719</f>
        <v>0</v>
      </c>
      <c r="O719" s="19"/>
      <c r="P719" s="19">
        <f t="shared" si="27"/>
        <v>0</v>
      </c>
      <c r="Q719" s="19">
        <f t="shared" si="26"/>
        <v>0</v>
      </c>
    </row>
    <row r="720" spans="2:17" x14ac:dyDescent="0.2">
      <c r="B720" s="21"/>
      <c r="C720" s="22"/>
      <c r="D720" s="23"/>
      <c r="E720" s="24"/>
      <c r="F720" s="24"/>
      <c r="G720" s="24"/>
      <c r="H720" s="24"/>
      <c r="I720" s="24"/>
      <c r="J720" s="24"/>
      <c r="K720" s="24"/>
      <c r="L720" s="58">
        <f>IF(K720&gt;=0,K720,0)</f>
        <v>0</v>
      </c>
      <c r="M720" s="58">
        <f>IF(K720&lt;=0,K720,0)</f>
        <v>0</v>
      </c>
      <c r="N720" s="58">
        <f>L720+-M720</f>
        <v>0</v>
      </c>
      <c r="O720" s="19"/>
      <c r="P720" s="19">
        <f t="shared" si="27"/>
        <v>0</v>
      </c>
      <c r="Q720" s="19">
        <f t="shared" si="26"/>
        <v>0</v>
      </c>
    </row>
    <row r="721" spans="2:17" x14ac:dyDescent="0.2">
      <c r="B721" s="21"/>
      <c r="C721" s="22"/>
      <c r="D721" s="23"/>
      <c r="E721" s="24"/>
      <c r="F721" s="24"/>
      <c r="G721" s="24"/>
      <c r="H721" s="24"/>
      <c r="I721" s="24"/>
      <c r="J721" s="24"/>
      <c r="K721" s="24"/>
      <c r="L721" s="58">
        <f>IF(K721&gt;=0,K721,0)</f>
        <v>0</v>
      </c>
      <c r="M721" s="58">
        <f>IF(K721&lt;=0,K721,0)</f>
        <v>0</v>
      </c>
      <c r="N721" s="58">
        <f>L721+-M721</f>
        <v>0</v>
      </c>
      <c r="O721" s="19"/>
      <c r="P721" s="19">
        <f t="shared" si="27"/>
        <v>0</v>
      </c>
      <c r="Q721" s="19">
        <f t="shared" si="26"/>
        <v>0</v>
      </c>
    </row>
    <row r="722" spans="2:17" x14ac:dyDescent="0.2">
      <c r="B722" s="21"/>
      <c r="C722" s="22"/>
      <c r="D722" s="23"/>
      <c r="E722" s="24"/>
      <c r="F722" s="24"/>
      <c r="G722" s="24"/>
      <c r="H722" s="24"/>
      <c r="I722" s="24"/>
      <c r="J722" s="24"/>
      <c r="K722" s="24"/>
      <c r="L722" s="58">
        <f>IF(K722&gt;=0,K722,0)</f>
        <v>0</v>
      </c>
      <c r="M722" s="58">
        <f>IF(K722&lt;=0,K722,0)</f>
        <v>0</v>
      </c>
      <c r="N722" s="58">
        <f>L722+-M722</f>
        <v>0</v>
      </c>
      <c r="O722" s="19"/>
      <c r="P722" s="19">
        <f t="shared" si="27"/>
        <v>0</v>
      </c>
      <c r="Q722" s="19">
        <f t="shared" si="26"/>
        <v>0</v>
      </c>
    </row>
    <row r="723" spans="2:17" x14ac:dyDescent="0.2">
      <c r="B723" s="21"/>
      <c r="C723" s="22"/>
      <c r="D723" s="23"/>
      <c r="E723" s="24"/>
      <c r="F723" s="24"/>
      <c r="G723" s="24"/>
      <c r="H723" s="24"/>
      <c r="I723" s="24"/>
      <c r="J723" s="24"/>
      <c r="K723" s="24"/>
      <c r="L723" s="58">
        <f>IF(K723&gt;=0,K723,0)</f>
        <v>0</v>
      </c>
      <c r="M723" s="58">
        <f>IF(K723&lt;=0,K723,0)</f>
        <v>0</v>
      </c>
      <c r="N723" s="58">
        <f>L723+-M723</f>
        <v>0</v>
      </c>
      <c r="O723" s="19"/>
      <c r="P723" s="19">
        <f t="shared" si="27"/>
        <v>0</v>
      </c>
      <c r="Q723" s="19">
        <f t="shared" si="26"/>
        <v>0</v>
      </c>
    </row>
    <row r="724" spans="2:17" x14ac:dyDescent="0.2">
      <c r="B724" s="21"/>
      <c r="C724" s="22"/>
      <c r="D724" s="23"/>
      <c r="E724" s="24"/>
      <c r="F724" s="24"/>
      <c r="G724" s="24"/>
      <c r="H724" s="24"/>
      <c r="I724" s="24"/>
      <c r="J724" s="24"/>
      <c r="K724" s="24"/>
      <c r="L724" s="58">
        <f>IF(K724&gt;=0,K724,0)</f>
        <v>0</v>
      </c>
      <c r="M724" s="58">
        <f>IF(K724&lt;=0,K724,0)</f>
        <v>0</v>
      </c>
      <c r="N724" s="58">
        <f>L724+-M724</f>
        <v>0</v>
      </c>
      <c r="O724" s="19"/>
      <c r="P724" s="19">
        <f t="shared" si="27"/>
        <v>0</v>
      </c>
      <c r="Q724" s="19">
        <f t="shared" si="26"/>
        <v>0</v>
      </c>
    </row>
    <row r="725" spans="2:17" x14ac:dyDescent="0.2">
      <c r="B725" s="21"/>
      <c r="C725" s="22"/>
      <c r="D725" s="23"/>
      <c r="E725" s="24"/>
      <c r="F725" s="24"/>
      <c r="G725" s="24"/>
      <c r="H725" s="24"/>
      <c r="I725" s="24"/>
      <c r="J725" s="24"/>
      <c r="K725" s="24"/>
      <c r="L725" s="58">
        <f>IF(K725&gt;=0,K725,0)</f>
        <v>0</v>
      </c>
      <c r="M725" s="58">
        <f>IF(K725&lt;=0,K725,0)</f>
        <v>0</v>
      </c>
      <c r="N725" s="58">
        <f>L725+-M725</f>
        <v>0</v>
      </c>
      <c r="O725" s="19"/>
      <c r="P725" s="19">
        <f t="shared" si="27"/>
        <v>0</v>
      </c>
      <c r="Q725" s="19">
        <f t="shared" si="26"/>
        <v>0</v>
      </c>
    </row>
    <row r="726" spans="2:17" x14ac:dyDescent="0.2">
      <c r="B726" s="21"/>
      <c r="C726" s="22"/>
      <c r="D726" s="23"/>
      <c r="E726" s="24"/>
      <c r="F726" s="24"/>
      <c r="G726" s="24"/>
      <c r="H726" s="24"/>
      <c r="I726" s="24"/>
      <c r="J726" s="24"/>
      <c r="K726" s="24"/>
      <c r="L726" s="58">
        <f>IF(K726&gt;=0,K726,0)</f>
        <v>0</v>
      </c>
      <c r="M726" s="58">
        <f>IF(K726&lt;=0,K726,0)</f>
        <v>0</v>
      </c>
      <c r="N726" s="58">
        <f>L726+-M726</f>
        <v>0</v>
      </c>
      <c r="O726" s="19"/>
      <c r="P726" s="19">
        <f t="shared" si="27"/>
        <v>0</v>
      </c>
      <c r="Q726" s="19">
        <f t="shared" si="26"/>
        <v>0</v>
      </c>
    </row>
    <row r="727" spans="2:17" x14ac:dyDescent="0.2">
      <c r="B727" s="21"/>
      <c r="C727" s="22"/>
      <c r="D727" s="23"/>
      <c r="E727" s="24"/>
      <c r="F727" s="24"/>
      <c r="G727" s="24"/>
      <c r="H727" s="24"/>
      <c r="I727" s="24"/>
      <c r="J727" s="24"/>
      <c r="K727" s="24"/>
      <c r="L727" s="58">
        <f>IF(K727&gt;=0,K727,0)</f>
        <v>0</v>
      </c>
      <c r="M727" s="58">
        <f>IF(K727&lt;=0,K727,0)</f>
        <v>0</v>
      </c>
      <c r="N727" s="58">
        <f>L727+-M727</f>
        <v>0</v>
      </c>
      <c r="O727" s="19"/>
      <c r="P727" s="19">
        <f t="shared" si="27"/>
        <v>0</v>
      </c>
      <c r="Q727" s="19">
        <f t="shared" si="26"/>
        <v>0</v>
      </c>
    </row>
    <row r="728" spans="2:17" x14ac:dyDescent="0.2">
      <c r="B728" s="21"/>
      <c r="C728" s="22"/>
      <c r="D728" s="23"/>
      <c r="E728" s="24"/>
      <c r="F728" s="24"/>
      <c r="G728" s="24"/>
      <c r="H728" s="24"/>
      <c r="I728" s="24"/>
      <c r="J728" s="24"/>
      <c r="K728" s="24"/>
      <c r="L728" s="58">
        <f>IF(K728&gt;=0,K728,0)</f>
        <v>0</v>
      </c>
      <c r="M728" s="58">
        <f>IF(K728&lt;=0,K728,0)</f>
        <v>0</v>
      </c>
      <c r="N728" s="58">
        <f>L728+-M728</f>
        <v>0</v>
      </c>
      <c r="O728" s="19"/>
      <c r="P728" s="19">
        <f t="shared" si="27"/>
        <v>0</v>
      </c>
      <c r="Q728" s="19">
        <f t="shared" si="26"/>
        <v>0</v>
      </c>
    </row>
    <row r="729" spans="2:17" x14ac:dyDescent="0.2">
      <c r="B729" s="21"/>
      <c r="C729" s="22"/>
      <c r="D729" s="23"/>
      <c r="E729" s="24"/>
      <c r="F729" s="24"/>
      <c r="G729" s="24"/>
      <c r="H729" s="24"/>
      <c r="I729" s="24"/>
      <c r="J729" s="24"/>
      <c r="K729" s="24"/>
      <c r="L729" s="58">
        <f>IF(K729&gt;=0,K729,0)</f>
        <v>0</v>
      </c>
      <c r="M729" s="58">
        <f>IF(K729&lt;=0,K729,0)</f>
        <v>0</v>
      </c>
      <c r="N729" s="58">
        <f>L729+-M729</f>
        <v>0</v>
      </c>
      <c r="O729" s="19"/>
      <c r="P729" s="19">
        <f t="shared" si="27"/>
        <v>0</v>
      </c>
      <c r="Q729" s="19">
        <f t="shared" si="26"/>
        <v>0</v>
      </c>
    </row>
    <row r="730" spans="2:17" x14ac:dyDescent="0.2">
      <c r="B730" s="21"/>
      <c r="C730" s="22"/>
      <c r="D730" s="23"/>
      <c r="E730" s="24"/>
      <c r="F730" s="24"/>
      <c r="G730" s="24"/>
      <c r="H730" s="24"/>
      <c r="I730" s="24"/>
      <c r="J730" s="24"/>
      <c r="K730" s="24"/>
      <c r="L730" s="58">
        <f>IF(K730&gt;=0,K730,0)</f>
        <v>0</v>
      </c>
      <c r="M730" s="58">
        <f>IF(K730&lt;=0,K730,0)</f>
        <v>0</v>
      </c>
      <c r="N730" s="58">
        <f>L730+-M730</f>
        <v>0</v>
      </c>
      <c r="O730" s="19"/>
      <c r="P730" s="19">
        <f t="shared" si="27"/>
        <v>0</v>
      </c>
      <c r="Q730" s="19">
        <f t="shared" si="26"/>
        <v>0</v>
      </c>
    </row>
    <row r="731" spans="2:17" x14ac:dyDescent="0.2">
      <c r="B731" s="21"/>
      <c r="C731" s="22"/>
      <c r="D731" s="23"/>
      <c r="E731" s="24"/>
      <c r="F731" s="24"/>
      <c r="G731" s="24"/>
      <c r="H731" s="24"/>
      <c r="I731" s="24"/>
      <c r="J731" s="24"/>
      <c r="K731" s="24"/>
      <c r="L731" s="58">
        <f>IF(K731&gt;=0,K731,0)</f>
        <v>0</v>
      </c>
      <c r="M731" s="58">
        <f>IF(K731&lt;=0,K731,0)</f>
        <v>0</v>
      </c>
      <c r="N731" s="58">
        <f>L731+-M731</f>
        <v>0</v>
      </c>
      <c r="O731" s="19"/>
      <c r="P731" s="19">
        <f t="shared" si="27"/>
        <v>0</v>
      </c>
      <c r="Q731" s="19">
        <f t="shared" si="26"/>
        <v>0</v>
      </c>
    </row>
    <row r="732" spans="2:17" x14ac:dyDescent="0.2">
      <c r="B732" s="21"/>
      <c r="C732" s="22"/>
      <c r="D732" s="23"/>
      <c r="E732" s="24"/>
      <c r="F732" s="24"/>
      <c r="G732" s="24"/>
      <c r="H732" s="24"/>
      <c r="I732" s="24"/>
      <c r="J732" s="24"/>
      <c r="K732" s="24"/>
      <c r="L732" s="58">
        <f>IF(K732&gt;=0,K732,0)</f>
        <v>0</v>
      </c>
      <c r="M732" s="58">
        <f>IF(K732&lt;=0,K732,0)</f>
        <v>0</v>
      </c>
      <c r="N732" s="58">
        <f>L732+-M732</f>
        <v>0</v>
      </c>
      <c r="O732" s="19"/>
      <c r="P732" s="19">
        <f t="shared" si="27"/>
        <v>0</v>
      </c>
      <c r="Q732" s="19">
        <f t="shared" si="26"/>
        <v>0</v>
      </c>
    </row>
    <row r="733" spans="2:17" x14ac:dyDescent="0.2">
      <c r="B733" s="21"/>
      <c r="C733" s="22"/>
      <c r="D733" s="23"/>
      <c r="E733" s="24"/>
      <c r="F733" s="24"/>
      <c r="G733" s="24"/>
      <c r="H733" s="24"/>
      <c r="I733" s="24"/>
      <c r="J733" s="24"/>
      <c r="K733" s="24"/>
      <c r="L733" s="58">
        <f>IF(K733&gt;=0,K733,0)</f>
        <v>0</v>
      </c>
      <c r="M733" s="58">
        <f>IF(K733&lt;=0,K733,0)</f>
        <v>0</v>
      </c>
      <c r="N733" s="58">
        <f>L733+-M733</f>
        <v>0</v>
      </c>
      <c r="O733" s="19"/>
      <c r="P733" s="19">
        <f t="shared" si="27"/>
        <v>0</v>
      </c>
      <c r="Q733" s="19">
        <f t="shared" si="26"/>
        <v>0</v>
      </c>
    </row>
    <row r="734" spans="2:17" x14ac:dyDescent="0.2">
      <c r="B734" s="21"/>
      <c r="C734" s="22"/>
      <c r="D734" s="23"/>
      <c r="E734" s="24"/>
      <c r="F734" s="24"/>
      <c r="G734" s="24"/>
      <c r="H734" s="24"/>
      <c r="I734" s="24"/>
      <c r="J734" s="24"/>
      <c r="K734" s="24"/>
      <c r="L734" s="58">
        <f>IF(K734&gt;=0,K734,0)</f>
        <v>0</v>
      </c>
      <c r="M734" s="58">
        <f>IF(K734&lt;=0,K734,0)</f>
        <v>0</v>
      </c>
      <c r="N734" s="58">
        <f>L734+-M734</f>
        <v>0</v>
      </c>
      <c r="O734" s="19"/>
      <c r="P734" s="19">
        <f t="shared" si="27"/>
        <v>0</v>
      </c>
      <c r="Q734" s="19">
        <f t="shared" si="26"/>
        <v>0</v>
      </c>
    </row>
    <row r="735" spans="2:17" x14ac:dyDescent="0.2">
      <c r="B735" s="21"/>
      <c r="C735" s="22"/>
      <c r="D735" s="23"/>
      <c r="E735" s="24"/>
      <c r="F735" s="24"/>
      <c r="G735" s="24"/>
      <c r="H735" s="24"/>
      <c r="I735" s="24"/>
      <c r="J735" s="24"/>
      <c r="K735" s="24"/>
      <c r="L735" s="58">
        <f>IF(K735&gt;=0,K735,0)</f>
        <v>0</v>
      </c>
      <c r="M735" s="58">
        <f>IF(K735&lt;=0,K735,0)</f>
        <v>0</v>
      </c>
      <c r="N735" s="58">
        <f>L735+-M735</f>
        <v>0</v>
      </c>
      <c r="O735" s="19"/>
      <c r="P735" s="19">
        <f t="shared" si="27"/>
        <v>0</v>
      </c>
      <c r="Q735" s="19">
        <f t="shared" si="26"/>
        <v>0</v>
      </c>
    </row>
    <row r="736" spans="2:17" x14ac:dyDescent="0.2">
      <c r="B736" s="21"/>
      <c r="C736" s="22"/>
      <c r="D736" s="23"/>
      <c r="E736" s="24"/>
      <c r="F736" s="24"/>
      <c r="G736" s="24"/>
      <c r="H736" s="24"/>
      <c r="I736" s="24"/>
      <c r="J736" s="24"/>
      <c r="K736" s="24"/>
      <c r="L736" s="58">
        <f>IF(K736&gt;=0,K736,0)</f>
        <v>0</v>
      </c>
      <c r="M736" s="58">
        <f>IF(K736&lt;=0,K736,0)</f>
        <v>0</v>
      </c>
      <c r="N736" s="58">
        <f>L736+-M736</f>
        <v>0</v>
      </c>
      <c r="O736" s="19"/>
      <c r="P736" s="19">
        <f t="shared" si="27"/>
        <v>0</v>
      </c>
      <c r="Q736" s="19">
        <f t="shared" si="26"/>
        <v>0</v>
      </c>
    </row>
    <row r="737" spans="2:17" x14ac:dyDescent="0.2">
      <c r="B737" s="21"/>
      <c r="C737" s="22"/>
      <c r="D737" s="23"/>
      <c r="E737" s="24"/>
      <c r="F737" s="24"/>
      <c r="G737" s="24"/>
      <c r="H737" s="24"/>
      <c r="I737" s="24"/>
      <c r="J737" s="24"/>
      <c r="K737" s="24"/>
      <c r="L737" s="58">
        <f>IF(K737&gt;=0,K737,0)</f>
        <v>0</v>
      </c>
      <c r="M737" s="58">
        <f>IF(K737&lt;=0,K737,0)</f>
        <v>0</v>
      </c>
      <c r="N737" s="58">
        <f>L737+-M737</f>
        <v>0</v>
      </c>
      <c r="O737" s="19"/>
      <c r="P737" s="19">
        <f t="shared" si="27"/>
        <v>0</v>
      </c>
      <c r="Q737" s="19">
        <f t="shared" si="26"/>
        <v>0</v>
      </c>
    </row>
    <row r="738" spans="2:17" x14ac:dyDescent="0.2">
      <c r="B738" s="21"/>
      <c r="C738" s="22"/>
      <c r="D738" s="23"/>
      <c r="E738" s="24"/>
      <c r="F738" s="24"/>
      <c r="G738" s="24"/>
      <c r="H738" s="24"/>
      <c r="I738" s="24"/>
      <c r="J738" s="24"/>
      <c r="K738" s="24"/>
      <c r="L738" s="58">
        <f>IF(K738&gt;=0,K738,0)</f>
        <v>0</v>
      </c>
      <c r="M738" s="58">
        <f>IF(K738&lt;=0,K738,0)</f>
        <v>0</v>
      </c>
      <c r="N738" s="58">
        <f>L738+-M738</f>
        <v>0</v>
      </c>
      <c r="O738" s="19"/>
      <c r="P738" s="19">
        <f t="shared" si="27"/>
        <v>0</v>
      </c>
      <c r="Q738" s="19">
        <f t="shared" si="26"/>
        <v>0</v>
      </c>
    </row>
    <row r="739" spans="2:17" x14ac:dyDescent="0.2">
      <c r="B739" s="21"/>
      <c r="C739" s="22"/>
      <c r="D739" s="23"/>
      <c r="E739" s="24"/>
      <c r="F739" s="24"/>
      <c r="G739" s="24"/>
      <c r="H739" s="24"/>
      <c r="I739" s="24"/>
      <c r="J739" s="24"/>
      <c r="K739" s="24"/>
      <c r="L739" s="58">
        <f>IF(K739&gt;=0,K739,0)</f>
        <v>0</v>
      </c>
      <c r="M739" s="58">
        <f>IF(K739&lt;=0,K739,0)</f>
        <v>0</v>
      </c>
      <c r="N739" s="58">
        <f>L739+-M739</f>
        <v>0</v>
      </c>
      <c r="O739" s="19"/>
      <c r="P739" s="19">
        <f t="shared" si="27"/>
        <v>0</v>
      </c>
      <c r="Q739" s="19">
        <f t="shared" si="26"/>
        <v>0</v>
      </c>
    </row>
    <row r="740" spans="2:17" x14ac:dyDescent="0.2">
      <c r="B740" s="21"/>
      <c r="C740" s="22"/>
      <c r="D740" s="23"/>
      <c r="E740" s="24"/>
      <c r="F740" s="24"/>
      <c r="G740" s="24"/>
      <c r="H740" s="24"/>
      <c r="I740" s="24"/>
      <c r="J740" s="24"/>
      <c r="K740" s="24"/>
      <c r="L740" s="58">
        <f>IF(K740&gt;=0,K740,0)</f>
        <v>0</v>
      </c>
      <c r="M740" s="58">
        <f>IF(K740&lt;=0,K740,0)</f>
        <v>0</v>
      </c>
      <c r="N740" s="58">
        <f>L740+-M740</f>
        <v>0</v>
      </c>
      <c r="O740" s="19"/>
      <c r="P740" s="19">
        <f t="shared" si="27"/>
        <v>0</v>
      </c>
      <c r="Q740" s="19">
        <f t="shared" si="26"/>
        <v>0</v>
      </c>
    </row>
    <row r="741" spans="2:17" x14ac:dyDescent="0.2">
      <c r="B741" s="21"/>
      <c r="C741" s="22"/>
      <c r="D741" s="23"/>
      <c r="E741" s="24"/>
      <c r="F741" s="24"/>
      <c r="G741" s="24"/>
      <c r="H741" s="24"/>
      <c r="I741" s="24"/>
      <c r="J741" s="24"/>
      <c r="K741" s="24"/>
      <c r="L741" s="58">
        <f>IF(K741&gt;=0,K741,0)</f>
        <v>0</v>
      </c>
      <c r="M741" s="58">
        <f>IF(K741&lt;=0,K741,0)</f>
        <v>0</v>
      </c>
      <c r="N741" s="58">
        <f>L741+-M741</f>
        <v>0</v>
      </c>
      <c r="O741" s="19"/>
      <c r="P741" s="19">
        <f t="shared" si="27"/>
        <v>0</v>
      </c>
      <c r="Q741" s="19">
        <f t="shared" si="26"/>
        <v>0</v>
      </c>
    </row>
    <row r="742" spans="2:17" x14ac:dyDescent="0.2">
      <c r="B742" s="21"/>
      <c r="C742" s="22"/>
      <c r="D742" s="23"/>
      <c r="E742" s="24"/>
      <c r="F742" s="24"/>
      <c r="G742" s="24"/>
      <c r="H742" s="24"/>
      <c r="I742" s="24"/>
      <c r="J742" s="24"/>
      <c r="K742" s="24"/>
      <c r="L742" s="58">
        <f>IF(K742&gt;=0,K742,0)</f>
        <v>0</v>
      </c>
      <c r="M742" s="58">
        <f>IF(K742&lt;=0,K742,0)</f>
        <v>0</v>
      </c>
      <c r="N742" s="58">
        <f>L742+-M742</f>
        <v>0</v>
      </c>
      <c r="O742" s="19"/>
      <c r="P742" s="19">
        <f t="shared" si="27"/>
        <v>0</v>
      </c>
      <c r="Q742" s="19">
        <f t="shared" si="26"/>
        <v>0</v>
      </c>
    </row>
    <row r="743" spans="2:17" x14ac:dyDescent="0.2">
      <c r="B743" s="21"/>
      <c r="C743" s="22"/>
      <c r="D743" s="23"/>
      <c r="E743" s="24"/>
      <c r="F743" s="24"/>
      <c r="G743" s="24"/>
      <c r="H743" s="24"/>
      <c r="I743" s="24"/>
      <c r="J743" s="24"/>
      <c r="K743" s="24"/>
      <c r="L743" s="58">
        <f>IF(K743&gt;=0,K743,0)</f>
        <v>0</v>
      </c>
      <c r="M743" s="58">
        <f>IF(K743&lt;=0,K743,0)</f>
        <v>0</v>
      </c>
      <c r="N743" s="58">
        <f>L743+-M743</f>
        <v>0</v>
      </c>
      <c r="O743" s="19"/>
      <c r="P743" s="19">
        <f t="shared" si="27"/>
        <v>0</v>
      </c>
      <c r="Q743" s="19">
        <f t="shared" si="26"/>
        <v>0</v>
      </c>
    </row>
    <row r="744" spans="2:17" x14ac:dyDescent="0.2">
      <c r="B744" s="21"/>
      <c r="C744" s="22"/>
      <c r="D744" s="23"/>
      <c r="E744" s="24"/>
      <c r="F744" s="24"/>
      <c r="G744" s="24"/>
      <c r="H744" s="24"/>
      <c r="I744" s="24"/>
      <c r="J744" s="24"/>
      <c r="K744" s="24"/>
      <c r="L744" s="58">
        <f>IF(K744&gt;=0,K744,0)</f>
        <v>0</v>
      </c>
      <c r="M744" s="58">
        <f>IF(K744&lt;=0,K744,0)</f>
        <v>0</v>
      </c>
      <c r="N744" s="58">
        <f>L744+-M744</f>
        <v>0</v>
      </c>
      <c r="O744" s="19"/>
      <c r="P744" s="19">
        <f t="shared" si="27"/>
        <v>0</v>
      </c>
      <c r="Q744" s="19">
        <f t="shared" si="26"/>
        <v>0</v>
      </c>
    </row>
    <row r="745" spans="2:17" x14ac:dyDescent="0.2">
      <c r="B745" s="21"/>
      <c r="C745" s="22"/>
      <c r="D745" s="23"/>
      <c r="E745" s="24"/>
      <c r="F745" s="24"/>
      <c r="G745" s="24"/>
      <c r="H745" s="24"/>
      <c r="I745" s="24"/>
      <c r="J745" s="24"/>
      <c r="K745" s="24"/>
      <c r="L745" s="58">
        <f>IF(K745&gt;=0,K745,0)</f>
        <v>0</v>
      </c>
      <c r="M745" s="58">
        <f>IF(K745&lt;=0,K745,0)</f>
        <v>0</v>
      </c>
      <c r="N745" s="58">
        <f>L745+-M745</f>
        <v>0</v>
      </c>
      <c r="O745" s="19"/>
      <c r="P745" s="19">
        <f t="shared" si="27"/>
        <v>0</v>
      </c>
      <c r="Q745" s="19">
        <f t="shared" si="26"/>
        <v>0</v>
      </c>
    </row>
    <row r="746" spans="2:17" x14ac:dyDescent="0.2">
      <c r="B746" s="21"/>
      <c r="C746" s="22"/>
      <c r="D746" s="23"/>
      <c r="E746" s="24"/>
      <c r="F746" s="24"/>
      <c r="G746" s="24"/>
      <c r="H746" s="24"/>
      <c r="I746" s="24"/>
      <c r="J746" s="24"/>
      <c r="K746" s="24"/>
      <c r="L746" s="58">
        <f>IF(K746&gt;=0,K746,0)</f>
        <v>0</v>
      </c>
      <c r="M746" s="58">
        <f>IF(K746&lt;=0,K746,0)</f>
        <v>0</v>
      </c>
      <c r="N746" s="58">
        <f>L746+-M746</f>
        <v>0</v>
      </c>
      <c r="O746" s="19"/>
      <c r="P746" s="19">
        <f t="shared" si="27"/>
        <v>0</v>
      </c>
      <c r="Q746" s="19">
        <f t="shared" si="26"/>
        <v>0</v>
      </c>
    </row>
    <row r="747" spans="2:17" x14ac:dyDescent="0.2">
      <c r="B747" s="21"/>
      <c r="C747" s="22"/>
      <c r="D747" s="23"/>
      <c r="E747" s="24"/>
      <c r="F747" s="24"/>
      <c r="G747" s="24"/>
      <c r="H747" s="24"/>
      <c r="I747" s="24"/>
      <c r="J747" s="24"/>
      <c r="K747" s="24"/>
      <c r="L747" s="58">
        <f>IF(K747&gt;=0,K747,0)</f>
        <v>0</v>
      </c>
      <c r="M747" s="58">
        <f>IF(K747&lt;=0,K747,0)</f>
        <v>0</v>
      </c>
      <c r="N747" s="58">
        <f>L747+-M747</f>
        <v>0</v>
      </c>
      <c r="O747" s="19"/>
      <c r="P747" s="19">
        <f t="shared" si="27"/>
        <v>0</v>
      </c>
      <c r="Q747" s="19">
        <f t="shared" si="26"/>
        <v>0</v>
      </c>
    </row>
    <row r="748" spans="2:17" x14ac:dyDescent="0.2">
      <c r="B748" s="21"/>
      <c r="C748" s="22"/>
      <c r="D748" s="23"/>
      <c r="E748" s="24"/>
      <c r="F748" s="24"/>
      <c r="G748" s="24"/>
      <c r="H748" s="24"/>
      <c r="I748" s="24"/>
      <c r="J748" s="24"/>
      <c r="K748" s="24"/>
      <c r="L748" s="58">
        <f>IF(K748&gt;=0,K748,0)</f>
        <v>0</v>
      </c>
      <c r="M748" s="58">
        <f>IF(K748&lt;=0,K748,0)</f>
        <v>0</v>
      </c>
      <c r="N748" s="58">
        <f>L748+-M748</f>
        <v>0</v>
      </c>
      <c r="O748" s="19"/>
      <c r="P748" s="19">
        <f t="shared" si="27"/>
        <v>0</v>
      </c>
      <c r="Q748" s="19">
        <f t="shared" si="26"/>
        <v>0</v>
      </c>
    </row>
    <row r="749" spans="2:17" x14ac:dyDescent="0.2">
      <c r="B749" s="21"/>
      <c r="C749" s="22"/>
      <c r="D749" s="23"/>
      <c r="E749" s="24"/>
      <c r="F749" s="24"/>
      <c r="G749" s="24"/>
      <c r="H749" s="24"/>
      <c r="I749" s="24"/>
      <c r="J749" s="24"/>
      <c r="K749" s="24"/>
      <c r="L749" s="58">
        <f>IF(K749&gt;=0,K749,0)</f>
        <v>0</v>
      </c>
      <c r="M749" s="58">
        <f>IF(K749&lt;=0,K749,0)</f>
        <v>0</v>
      </c>
      <c r="N749" s="58">
        <f>L749+-M749</f>
        <v>0</v>
      </c>
      <c r="O749" s="19"/>
      <c r="P749" s="19">
        <f t="shared" si="27"/>
        <v>0</v>
      </c>
      <c r="Q749" s="19">
        <f t="shared" si="26"/>
        <v>0</v>
      </c>
    </row>
    <row r="750" spans="2:17" x14ac:dyDescent="0.2">
      <c r="B750" s="21"/>
      <c r="C750" s="22"/>
      <c r="D750" s="23"/>
      <c r="E750" s="24"/>
      <c r="F750" s="24"/>
      <c r="G750" s="24"/>
      <c r="H750" s="24"/>
      <c r="I750" s="24"/>
      <c r="J750" s="24"/>
      <c r="K750" s="24"/>
      <c r="L750" s="58">
        <f>IF(K750&gt;=0,K750,0)</f>
        <v>0</v>
      </c>
      <c r="M750" s="58">
        <f>IF(K750&lt;=0,K750,0)</f>
        <v>0</v>
      </c>
      <c r="N750" s="58">
        <f>L750+-M750</f>
        <v>0</v>
      </c>
      <c r="O750" s="19"/>
      <c r="P750" s="19">
        <f t="shared" si="27"/>
        <v>0</v>
      </c>
      <c r="Q750" s="19">
        <f t="shared" si="26"/>
        <v>0</v>
      </c>
    </row>
    <row r="751" spans="2:17" x14ac:dyDescent="0.2">
      <c r="B751" s="21"/>
      <c r="C751" s="22"/>
      <c r="D751" s="23"/>
      <c r="E751" s="24"/>
      <c r="F751" s="24"/>
      <c r="G751" s="24"/>
      <c r="H751" s="24"/>
      <c r="I751" s="24"/>
      <c r="J751" s="24"/>
      <c r="K751" s="24"/>
      <c r="L751" s="58">
        <f>IF(K751&gt;=0,K751,0)</f>
        <v>0</v>
      </c>
      <c r="M751" s="58">
        <f>IF(K751&lt;=0,K751,0)</f>
        <v>0</v>
      </c>
      <c r="N751" s="58">
        <f>L751+-M751</f>
        <v>0</v>
      </c>
      <c r="O751" s="19"/>
      <c r="P751" s="19">
        <f t="shared" si="27"/>
        <v>0</v>
      </c>
      <c r="Q751" s="19">
        <f t="shared" si="26"/>
        <v>0</v>
      </c>
    </row>
    <row r="752" spans="2:17" x14ac:dyDescent="0.2">
      <c r="B752" s="21"/>
      <c r="C752" s="22"/>
      <c r="D752" s="23"/>
      <c r="E752" s="24"/>
      <c r="F752" s="24"/>
      <c r="G752" s="24"/>
      <c r="H752" s="24"/>
      <c r="I752" s="24"/>
      <c r="J752" s="24"/>
      <c r="K752" s="24"/>
      <c r="L752" s="58">
        <f>IF(K752&gt;=0,K752,0)</f>
        <v>0</v>
      </c>
      <c r="M752" s="58">
        <f>IF(K752&lt;=0,K752,0)</f>
        <v>0</v>
      </c>
      <c r="N752" s="58">
        <f>L752+-M752</f>
        <v>0</v>
      </c>
      <c r="O752" s="19"/>
      <c r="P752" s="19">
        <f t="shared" si="27"/>
        <v>0</v>
      </c>
      <c r="Q752" s="19">
        <f t="shared" si="26"/>
        <v>0</v>
      </c>
    </row>
    <row r="753" spans="2:17" x14ac:dyDescent="0.2">
      <c r="B753" s="21"/>
      <c r="C753" s="22"/>
      <c r="D753" s="23"/>
      <c r="E753" s="24"/>
      <c r="F753" s="24"/>
      <c r="G753" s="24"/>
      <c r="H753" s="24"/>
      <c r="I753" s="24"/>
      <c r="J753" s="24"/>
      <c r="K753" s="24"/>
      <c r="L753" s="58">
        <f>IF(K753&gt;=0,K753,0)</f>
        <v>0</v>
      </c>
      <c r="M753" s="58">
        <f>IF(K753&lt;=0,K753,0)</f>
        <v>0</v>
      </c>
      <c r="N753" s="58">
        <f>L753+-M753</f>
        <v>0</v>
      </c>
      <c r="O753" s="19"/>
      <c r="P753" s="19">
        <f t="shared" si="27"/>
        <v>0</v>
      </c>
      <c r="Q753" s="19">
        <f t="shared" si="26"/>
        <v>0</v>
      </c>
    </row>
    <row r="754" spans="2:17" x14ac:dyDescent="0.2">
      <c r="B754" s="21"/>
      <c r="C754" s="22"/>
      <c r="D754" s="23"/>
      <c r="E754" s="24"/>
      <c r="F754" s="24"/>
      <c r="G754" s="24"/>
      <c r="H754" s="24"/>
      <c r="I754" s="24"/>
      <c r="J754" s="24"/>
      <c r="K754" s="24"/>
      <c r="L754" s="58">
        <f>IF(K754&gt;=0,K754,0)</f>
        <v>0</v>
      </c>
      <c r="M754" s="58">
        <f>IF(K754&lt;=0,K754,0)</f>
        <v>0</v>
      </c>
      <c r="N754" s="58">
        <f>L754+-M754</f>
        <v>0</v>
      </c>
      <c r="O754" s="19"/>
      <c r="P754" s="19">
        <f t="shared" si="27"/>
        <v>0</v>
      </c>
      <c r="Q754" s="19">
        <f t="shared" si="26"/>
        <v>0</v>
      </c>
    </row>
    <row r="755" spans="2:17" x14ac:dyDescent="0.2">
      <c r="B755" s="21"/>
      <c r="C755" s="22"/>
      <c r="D755" s="23"/>
      <c r="E755" s="24"/>
      <c r="F755" s="24"/>
      <c r="G755" s="24"/>
      <c r="H755" s="24"/>
      <c r="I755" s="24"/>
      <c r="J755" s="24"/>
      <c r="K755" s="24"/>
      <c r="L755" s="58">
        <f>IF(K755&gt;=0,K755,0)</f>
        <v>0</v>
      </c>
      <c r="M755" s="58">
        <f>IF(K755&lt;=0,K755,0)</f>
        <v>0</v>
      </c>
      <c r="N755" s="58">
        <f>L755+-M755</f>
        <v>0</v>
      </c>
      <c r="O755" s="19"/>
      <c r="P755" s="19">
        <f t="shared" si="27"/>
        <v>0</v>
      </c>
      <c r="Q755" s="19">
        <f t="shared" si="26"/>
        <v>0</v>
      </c>
    </row>
    <row r="756" spans="2:17" x14ac:dyDescent="0.2">
      <c r="B756" s="21"/>
      <c r="C756" s="22"/>
      <c r="D756" s="23"/>
      <c r="E756" s="24"/>
      <c r="F756" s="24"/>
      <c r="G756" s="24"/>
      <c r="H756" s="24"/>
      <c r="I756" s="24"/>
      <c r="J756" s="24"/>
      <c r="K756" s="24"/>
      <c r="L756" s="58">
        <f>IF(K756&gt;=0,K756,0)</f>
        <v>0</v>
      </c>
      <c r="M756" s="58">
        <f>IF(K756&lt;=0,K756,0)</f>
        <v>0</v>
      </c>
      <c r="N756" s="58">
        <f>L756+-M756</f>
        <v>0</v>
      </c>
      <c r="O756" s="19"/>
      <c r="P756" s="19">
        <f t="shared" si="27"/>
        <v>0</v>
      </c>
      <c r="Q756" s="19">
        <f t="shared" si="26"/>
        <v>0</v>
      </c>
    </row>
    <row r="757" spans="2:17" x14ac:dyDescent="0.2">
      <c r="B757" s="21"/>
      <c r="C757" s="22"/>
      <c r="D757" s="23"/>
      <c r="E757" s="24"/>
      <c r="F757" s="24"/>
      <c r="G757" s="24"/>
      <c r="H757" s="24"/>
      <c r="I757" s="24"/>
      <c r="J757" s="24"/>
      <c r="K757" s="24"/>
      <c r="L757" s="58">
        <f>IF(K757&gt;=0,K757,0)</f>
        <v>0</v>
      </c>
      <c r="M757" s="58">
        <f>IF(K757&lt;=0,K757,0)</f>
        <v>0</v>
      </c>
      <c r="N757" s="58">
        <f>L757+-M757</f>
        <v>0</v>
      </c>
      <c r="O757" s="19"/>
      <c r="P757" s="19">
        <f t="shared" si="27"/>
        <v>0</v>
      </c>
      <c r="Q757" s="19">
        <f t="shared" si="26"/>
        <v>0</v>
      </c>
    </row>
    <row r="758" spans="2:17" x14ac:dyDescent="0.2">
      <c r="B758" s="21"/>
      <c r="C758" s="22"/>
      <c r="D758" s="23"/>
      <c r="E758" s="24"/>
      <c r="F758" s="24"/>
      <c r="G758" s="24"/>
      <c r="H758" s="24"/>
      <c r="I758" s="24"/>
      <c r="J758" s="24"/>
      <c r="K758" s="24"/>
      <c r="L758" s="58">
        <f>IF(K758&gt;=0,K758,0)</f>
        <v>0</v>
      </c>
      <c r="M758" s="58">
        <f>IF(K758&lt;=0,K758,0)</f>
        <v>0</v>
      </c>
      <c r="N758" s="58">
        <f>L758+-M758</f>
        <v>0</v>
      </c>
      <c r="O758" s="19"/>
      <c r="P758" s="19">
        <f t="shared" si="27"/>
        <v>0</v>
      </c>
      <c r="Q758" s="19">
        <f t="shared" si="26"/>
        <v>0</v>
      </c>
    </row>
    <row r="759" spans="2:17" x14ac:dyDescent="0.2">
      <c r="B759" s="21"/>
      <c r="C759" s="22"/>
      <c r="D759" s="23"/>
      <c r="E759" s="24"/>
      <c r="F759" s="24"/>
      <c r="G759" s="24"/>
      <c r="H759" s="24"/>
      <c r="I759" s="24"/>
      <c r="J759" s="24"/>
      <c r="K759" s="24"/>
      <c r="L759" s="58">
        <f>IF(K759&gt;=0,K759,0)</f>
        <v>0</v>
      </c>
      <c r="M759" s="58">
        <f>IF(K759&lt;=0,K759,0)</f>
        <v>0</v>
      </c>
      <c r="N759" s="58">
        <f>L759+-M759</f>
        <v>0</v>
      </c>
      <c r="O759" s="19"/>
      <c r="P759" s="19">
        <f t="shared" si="27"/>
        <v>0</v>
      </c>
      <c r="Q759" s="19">
        <f t="shared" si="26"/>
        <v>0</v>
      </c>
    </row>
    <row r="760" spans="2:17" x14ac:dyDescent="0.2">
      <c r="B760" s="21"/>
      <c r="C760" s="22"/>
      <c r="D760" s="23"/>
      <c r="E760" s="24"/>
      <c r="F760" s="24"/>
      <c r="G760" s="24"/>
      <c r="H760" s="24"/>
      <c r="I760" s="24"/>
      <c r="J760" s="24"/>
      <c r="K760" s="24"/>
      <c r="L760" s="58">
        <f>IF(K760&gt;=0,K760,0)</f>
        <v>0</v>
      </c>
      <c r="M760" s="58">
        <f>IF(K760&lt;=0,K760,0)</f>
        <v>0</v>
      </c>
      <c r="N760" s="58">
        <f>L760+-M760</f>
        <v>0</v>
      </c>
      <c r="O760" s="19"/>
      <c r="P760" s="19">
        <f t="shared" si="27"/>
        <v>0</v>
      </c>
      <c r="Q760" s="19">
        <f t="shared" si="26"/>
        <v>0</v>
      </c>
    </row>
    <row r="761" spans="2:17" x14ac:dyDescent="0.2">
      <c r="B761" s="21"/>
      <c r="C761" s="22"/>
      <c r="D761" s="23"/>
      <c r="E761" s="24"/>
      <c r="F761" s="24"/>
      <c r="G761" s="24"/>
      <c r="H761" s="24"/>
      <c r="I761" s="24"/>
      <c r="J761" s="24"/>
      <c r="K761" s="24"/>
      <c r="L761" s="58">
        <f>IF(K761&gt;=0,K761,0)</f>
        <v>0</v>
      </c>
      <c r="M761" s="58">
        <f>IF(K761&lt;=0,K761,0)</f>
        <v>0</v>
      </c>
      <c r="N761" s="58">
        <f>L761+-M761</f>
        <v>0</v>
      </c>
      <c r="O761" s="19"/>
      <c r="P761" s="19">
        <f t="shared" si="27"/>
        <v>0</v>
      </c>
      <c r="Q761" s="19">
        <f t="shared" si="26"/>
        <v>0</v>
      </c>
    </row>
    <row r="762" spans="2:17" x14ac:dyDescent="0.2">
      <c r="B762" s="21"/>
      <c r="C762" s="22"/>
      <c r="D762" s="23"/>
      <c r="E762" s="24"/>
      <c r="F762" s="24"/>
      <c r="G762" s="24"/>
      <c r="H762" s="24"/>
      <c r="I762" s="24"/>
      <c r="J762" s="24"/>
      <c r="K762" s="24"/>
      <c r="L762" s="58">
        <f>IF(K762&gt;=0,K762,0)</f>
        <v>0</v>
      </c>
      <c r="M762" s="58">
        <f>IF(K762&lt;=0,K762,0)</f>
        <v>0</v>
      </c>
      <c r="N762" s="58">
        <f>L762+-M762</f>
        <v>0</v>
      </c>
      <c r="O762" s="19"/>
      <c r="P762" s="19">
        <f t="shared" si="27"/>
        <v>0</v>
      </c>
      <c r="Q762" s="19">
        <f t="shared" si="26"/>
        <v>0</v>
      </c>
    </row>
    <row r="763" spans="2:17" x14ac:dyDescent="0.2">
      <c r="B763" s="21"/>
      <c r="C763" s="22"/>
      <c r="D763" s="23"/>
      <c r="E763" s="24"/>
      <c r="F763" s="24"/>
      <c r="G763" s="24"/>
      <c r="H763" s="24"/>
      <c r="I763" s="24"/>
      <c r="J763" s="24"/>
      <c r="K763" s="24"/>
      <c r="L763" s="58">
        <f>IF(K763&gt;=0,K763,0)</f>
        <v>0</v>
      </c>
      <c r="M763" s="58">
        <f>IF(K763&lt;=0,K763,0)</f>
        <v>0</v>
      </c>
      <c r="N763" s="58">
        <f>L763+-M763</f>
        <v>0</v>
      </c>
      <c r="O763" s="19"/>
      <c r="P763" s="19">
        <f t="shared" si="27"/>
        <v>0</v>
      </c>
      <c r="Q763" s="19">
        <f t="shared" si="26"/>
        <v>0</v>
      </c>
    </row>
    <row r="764" spans="2:17" x14ac:dyDescent="0.2">
      <c r="B764" s="21"/>
      <c r="C764" s="22"/>
      <c r="D764" s="23"/>
      <c r="E764" s="24"/>
      <c r="F764" s="24"/>
      <c r="G764" s="24"/>
      <c r="H764" s="24"/>
      <c r="I764" s="24"/>
      <c r="J764" s="24"/>
      <c r="K764" s="24"/>
      <c r="L764" s="58">
        <f>IF(K764&gt;=0,K764,0)</f>
        <v>0</v>
      </c>
      <c r="M764" s="58">
        <f>IF(K764&lt;=0,K764,0)</f>
        <v>0</v>
      </c>
      <c r="N764" s="58">
        <f>L764+-M764</f>
        <v>0</v>
      </c>
      <c r="O764" s="19"/>
      <c r="P764" s="19">
        <f t="shared" si="27"/>
        <v>0</v>
      </c>
      <c r="Q764" s="19">
        <f t="shared" ref="Q764:Q827" si="28">P764+Q763</f>
        <v>0</v>
      </c>
    </row>
    <row r="765" spans="2:17" x14ac:dyDescent="0.2">
      <c r="B765" s="21"/>
      <c r="C765" s="22"/>
      <c r="D765" s="23"/>
      <c r="E765" s="24"/>
      <c r="F765" s="24"/>
      <c r="G765" s="24"/>
      <c r="H765" s="24"/>
      <c r="I765" s="24"/>
      <c r="J765" s="24"/>
      <c r="K765" s="24"/>
      <c r="L765" s="58">
        <f>IF(K765&gt;=0,K765,0)</f>
        <v>0</v>
      </c>
      <c r="M765" s="58">
        <f>IF(K765&lt;=0,K765,0)</f>
        <v>0</v>
      </c>
      <c r="N765" s="58">
        <f>L765+-M765</f>
        <v>0</v>
      </c>
      <c r="O765" s="19"/>
      <c r="P765" s="19">
        <f t="shared" si="27"/>
        <v>0</v>
      </c>
      <c r="Q765" s="19">
        <f t="shared" si="28"/>
        <v>0</v>
      </c>
    </row>
    <row r="766" spans="2:17" x14ac:dyDescent="0.2">
      <c r="B766" s="21"/>
      <c r="C766" s="22"/>
      <c r="D766" s="23"/>
      <c r="E766" s="24"/>
      <c r="F766" s="24"/>
      <c r="G766" s="24"/>
      <c r="H766" s="24"/>
      <c r="I766" s="24"/>
      <c r="J766" s="24"/>
      <c r="K766" s="24"/>
      <c r="L766" s="58">
        <f>IF(K766&gt;=0,K766,0)</f>
        <v>0</v>
      </c>
      <c r="M766" s="58">
        <f>IF(K766&lt;=0,K766,0)</f>
        <v>0</v>
      </c>
      <c r="N766" s="58">
        <f>L766+-M766</f>
        <v>0</v>
      </c>
      <c r="O766" s="19"/>
      <c r="P766" s="19">
        <f t="shared" si="27"/>
        <v>0</v>
      </c>
      <c r="Q766" s="19">
        <f t="shared" si="28"/>
        <v>0</v>
      </c>
    </row>
    <row r="767" spans="2:17" x14ac:dyDescent="0.2">
      <c r="B767" s="21"/>
      <c r="C767" s="22"/>
      <c r="D767" s="23"/>
      <c r="E767" s="24"/>
      <c r="F767" s="24"/>
      <c r="G767" s="24"/>
      <c r="H767" s="24"/>
      <c r="I767" s="24"/>
      <c r="J767" s="24"/>
      <c r="K767" s="24"/>
      <c r="L767" s="58">
        <f>IF(K767&gt;=0,K767,0)</f>
        <v>0</v>
      </c>
      <c r="M767" s="58">
        <f>IF(K767&lt;=0,K767,0)</f>
        <v>0</v>
      </c>
      <c r="N767" s="58">
        <f>L767+-M767</f>
        <v>0</v>
      </c>
      <c r="O767" s="19"/>
      <c r="P767" s="19">
        <f t="shared" si="27"/>
        <v>0</v>
      </c>
      <c r="Q767" s="19">
        <f t="shared" si="28"/>
        <v>0</v>
      </c>
    </row>
    <row r="768" spans="2:17" x14ac:dyDescent="0.2">
      <c r="B768" s="21"/>
      <c r="C768" s="22"/>
      <c r="D768" s="23"/>
      <c r="E768" s="24"/>
      <c r="F768" s="24"/>
      <c r="G768" s="24"/>
      <c r="H768" s="24"/>
      <c r="I768" s="24"/>
      <c r="J768" s="24"/>
      <c r="K768" s="24"/>
      <c r="L768" s="58">
        <f>IF(K768&gt;=0,K768,0)</f>
        <v>0</v>
      </c>
      <c r="M768" s="58">
        <f>IF(K768&lt;=0,K768,0)</f>
        <v>0</v>
      </c>
      <c r="N768" s="58">
        <f>L768+-M768</f>
        <v>0</v>
      </c>
      <c r="O768" s="19"/>
      <c r="P768" s="19">
        <f t="shared" si="27"/>
        <v>0</v>
      </c>
      <c r="Q768" s="19">
        <f t="shared" si="28"/>
        <v>0</v>
      </c>
    </row>
    <row r="769" spans="2:17" x14ac:dyDescent="0.2">
      <c r="B769" s="21"/>
      <c r="C769" s="22"/>
      <c r="D769" s="23"/>
      <c r="E769" s="24"/>
      <c r="F769" s="24"/>
      <c r="G769" s="24"/>
      <c r="H769" s="24"/>
      <c r="I769" s="24"/>
      <c r="J769" s="24"/>
      <c r="K769" s="24"/>
      <c r="L769" s="58">
        <f>IF(K769&gt;=0,K769,0)</f>
        <v>0</v>
      </c>
      <c r="M769" s="58">
        <f>IF(K769&lt;=0,K769,0)</f>
        <v>0</v>
      </c>
      <c r="N769" s="58">
        <f>L769+-M769</f>
        <v>0</v>
      </c>
      <c r="O769" s="19"/>
      <c r="P769" s="19">
        <f t="shared" si="27"/>
        <v>0</v>
      </c>
      <c r="Q769" s="19">
        <f t="shared" si="28"/>
        <v>0</v>
      </c>
    </row>
    <row r="770" spans="2:17" x14ac:dyDescent="0.2">
      <c r="B770" s="21"/>
      <c r="C770" s="22"/>
      <c r="D770" s="23"/>
      <c r="E770" s="24"/>
      <c r="F770" s="24"/>
      <c r="G770" s="24"/>
      <c r="H770" s="24"/>
      <c r="I770" s="24"/>
      <c r="J770" s="24"/>
      <c r="K770" s="24"/>
      <c r="L770" s="58">
        <f>IF(K770&gt;=0,K770,0)</f>
        <v>0</v>
      </c>
      <c r="M770" s="58">
        <f>IF(K770&lt;=0,K770,0)</f>
        <v>0</v>
      </c>
      <c r="N770" s="58">
        <f>L770+-M770</f>
        <v>0</v>
      </c>
      <c r="O770" s="19"/>
      <c r="P770" s="19">
        <f t="shared" si="27"/>
        <v>0</v>
      </c>
      <c r="Q770" s="19">
        <f t="shared" si="28"/>
        <v>0</v>
      </c>
    </row>
    <row r="771" spans="2:17" x14ac:dyDescent="0.2">
      <c r="B771" s="21"/>
      <c r="C771" s="22"/>
      <c r="D771" s="23"/>
      <c r="E771" s="24"/>
      <c r="F771" s="24"/>
      <c r="G771" s="24"/>
      <c r="H771" s="24"/>
      <c r="I771" s="24"/>
      <c r="J771" s="24"/>
      <c r="K771" s="24"/>
      <c r="L771" s="58">
        <f>IF(K771&gt;=0,K771,0)</f>
        <v>0</v>
      </c>
      <c r="M771" s="58">
        <f>IF(K771&lt;=0,K771,0)</f>
        <v>0</v>
      </c>
      <c r="N771" s="58">
        <f>L771+-M771</f>
        <v>0</v>
      </c>
      <c r="O771" s="19"/>
      <c r="P771" s="19">
        <f t="shared" si="27"/>
        <v>0</v>
      </c>
      <c r="Q771" s="19">
        <f t="shared" si="28"/>
        <v>0</v>
      </c>
    </row>
    <row r="772" spans="2:17" x14ac:dyDescent="0.2">
      <c r="B772" s="21"/>
      <c r="C772" s="22"/>
      <c r="D772" s="23"/>
      <c r="E772" s="24"/>
      <c r="F772" s="24"/>
      <c r="G772" s="24"/>
      <c r="H772" s="24"/>
      <c r="I772" s="24"/>
      <c r="J772" s="24"/>
      <c r="K772" s="24"/>
      <c r="L772" s="58">
        <f>IF(K772&gt;=0,K772,0)</f>
        <v>0</v>
      </c>
      <c r="M772" s="58">
        <f>IF(K772&lt;=0,K772,0)</f>
        <v>0</v>
      </c>
      <c r="N772" s="58">
        <f>L772+-M772</f>
        <v>0</v>
      </c>
      <c r="O772" s="19"/>
      <c r="P772" s="19">
        <f t="shared" si="27"/>
        <v>0</v>
      </c>
      <c r="Q772" s="19">
        <f t="shared" si="28"/>
        <v>0</v>
      </c>
    </row>
    <row r="773" spans="2:17" x14ac:dyDescent="0.2">
      <c r="B773" s="21"/>
      <c r="C773" s="22"/>
      <c r="D773" s="23"/>
      <c r="E773" s="24"/>
      <c r="F773" s="24"/>
      <c r="G773" s="24"/>
      <c r="H773" s="24"/>
      <c r="I773" s="24"/>
      <c r="J773" s="24"/>
      <c r="K773" s="24"/>
      <c r="L773" s="58">
        <f>IF(K773&gt;=0,K773,0)</f>
        <v>0</v>
      </c>
      <c r="M773" s="58">
        <f>IF(K773&lt;=0,K773,0)</f>
        <v>0</v>
      </c>
      <c r="N773" s="58">
        <f>L773+-M773</f>
        <v>0</v>
      </c>
      <c r="O773" s="19"/>
      <c r="P773" s="19">
        <f t="shared" si="27"/>
        <v>0</v>
      </c>
      <c r="Q773" s="19">
        <f t="shared" si="28"/>
        <v>0</v>
      </c>
    </row>
    <row r="774" spans="2:17" x14ac:dyDescent="0.2">
      <c r="B774" s="21"/>
      <c r="C774" s="22"/>
      <c r="D774" s="23"/>
      <c r="E774" s="24"/>
      <c r="F774" s="24"/>
      <c r="G774" s="24"/>
      <c r="H774" s="24"/>
      <c r="I774" s="24"/>
      <c r="J774" s="24"/>
      <c r="K774" s="24"/>
      <c r="L774" s="58">
        <f>IF(K774&gt;=0,K774,0)</f>
        <v>0</v>
      </c>
      <c r="M774" s="58">
        <f>IF(K774&lt;=0,K774,0)</f>
        <v>0</v>
      </c>
      <c r="N774" s="58">
        <f>L774+-M774</f>
        <v>0</v>
      </c>
      <c r="O774" s="19"/>
      <c r="P774" s="19">
        <f t="shared" si="27"/>
        <v>0</v>
      </c>
      <c r="Q774" s="19">
        <f t="shared" si="28"/>
        <v>0</v>
      </c>
    </row>
    <row r="775" spans="2:17" x14ac:dyDescent="0.2">
      <c r="B775" s="21"/>
      <c r="C775" s="22"/>
      <c r="D775" s="23"/>
      <c r="E775" s="24"/>
      <c r="F775" s="24"/>
      <c r="G775" s="24"/>
      <c r="H775" s="24"/>
      <c r="I775" s="24"/>
      <c r="J775" s="24"/>
      <c r="K775" s="24"/>
      <c r="L775" s="58">
        <f>IF(K775&gt;=0,K775,0)</f>
        <v>0</v>
      </c>
      <c r="M775" s="58">
        <f>IF(K775&lt;=0,K775,0)</f>
        <v>0</v>
      </c>
      <c r="N775" s="58">
        <f>L775+-M775</f>
        <v>0</v>
      </c>
      <c r="O775" s="19"/>
      <c r="P775" s="19">
        <f t="shared" ref="P775:P838" si="29">N775/$N$1055</f>
        <v>0</v>
      </c>
      <c r="Q775" s="19">
        <f t="shared" si="28"/>
        <v>0</v>
      </c>
    </row>
    <row r="776" spans="2:17" x14ac:dyDescent="0.2">
      <c r="B776" s="21"/>
      <c r="C776" s="22"/>
      <c r="D776" s="23"/>
      <c r="E776" s="24"/>
      <c r="F776" s="24"/>
      <c r="G776" s="24"/>
      <c r="H776" s="24"/>
      <c r="I776" s="24"/>
      <c r="J776" s="24"/>
      <c r="K776" s="24"/>
      <c r="L776" s="58">
        <f>IF(K776&gt;=0,K776,0)</f>
        <v>0</v>
      </c>
      <c r="M776" s="58">
        <f>IF(K776&lt;=0,K776,0)</f>
        <v>0</v>
      </c>
      <c r="N776" s="58">
        <f>L776+-M776</f>
        <v>0</v>
      </c>
      <c r="O776" s="19"/>
      <c r="P776" s="19">
        <f t="shared" si="29"/>
        <v>0</v>
      </c>
      <c r="Q776" s="19">
        <f t="shared" si="28"/>
        <v>0</v>
      </c>
    </row>
    <row r="777" spans="2:17" x14ac:dyDescent="0.2">
      <c r="B777" s="21"/>
      <c r="C777" s="22"/>
      <c r="D777" s="23"/>
      <c r="E777" s="24"/>
      <c r="F777" s="24"/>
      <c r="G777" s="24"/>
      <c r="H777" s="24"/>
      <c r="I777" s="24"/>
      <c r="J777" s="24"/>
      <c r="K777" s="24"/>
      <c r="L777" s="58">
        <f>IF(K777&gt;=0,K777,0)</f>
        <v>0</v>
      </c>
      <c r="M777" s="58">
        <f>IF(K777&lt;=0,K777,0)</f>
        <v>0</v>
      </c>
      <c r="N777" s="58">
        <f>L777+-M777</f>
        <v>0</v>
      </c>
      <c r="O777" s="19"/>
      <c r="P777" s="19">
        <f t="shared" si="29"/>
        <v>0</v>
      </c>
      <c r="Q777" s="19">
        <f t="shared" si="28"/>
        <v>0</v>
      </c>
    </row>
    <row r="778" spans="2:17" x14ac:dyDescent="0.2">
      <c r="B778" s="21"/>
      <c r="C778" s="22"/>
      <c r="D778" s="23"/>
      <c r="E778" s="24"/>
      <c r="F778" s="24"/>
      <c r="G778" s="24"/>
      <c r="H778" s="24"/>
      <c r="I778" s="24"/>
      <c r="J778" s="24"/>
      <c r="K778" s="24"/>
      <c r="L778" s="58">
        <f>IF(K778&gt;=0,K778,0)</f>
        <v>0</v>
      </c>
      <c r="M778" s="58">
        <f>IF(K778&lt;=0,K778,0)</f>
        <v>0</v>
      </c>
      <c r="N778" s="58">
        <f>L778+-M778</f>
        <v>0</v>
      </c>
      <c r="O778" s="19"/>
      <c r="P778" s="19">
        <f t="shared" si="29"/>
        <v>0</v>
      </c>
      <c r="Q778" s="19">
        <f t="shared" si="28"/>
        <v>0</v>
      </c>
    </row>
    <row r="779" spans="2:17" x14ac:dyDescent="0.2">
      <c r="B779" s="21"/>
      <c r="C779" s="22"/>
      <c r="D779" s="23"/>
      <c r="E779" s="24"/>
      <c r="F779" s="24"/>
      <c r="G779" s="24"/>
      <c r="H779" s="24"/>
      <c r="I779" s="24"/>
      <c r="J779" s="24"/>
      <c r="K779" s="24"/>
      <c r="L779" s="58">
        <f>IF(K779&gt;=0,K779,0)</f>
        <v>0</v>
      </c>
      <c r="M779" s="58">
        <f>IF(K779&lt;=0,K779,0)</f>
        <v>0</v>
      </c>
      <c r="N779" s="58">
        <f>L779+-M779</f>
        <v>0</v>
      </c>
      <c r="O779" s="19"/>
      <c r="P779" s="19">
        <f t="shared" si="29"/>
        <v>0</v>
      </c>
      <c r="Q779" s="19">
        <f t="shared" si="28"/>
        <v>0</v>
      </c>
    </row>
    <row r="780" spans="2:17" x14ac:dyDescent="0.2">
      <c r="B780" s="21"/>
      <c r="C780" s="22"/>
      <c r="D780" s="23"/>
      <c r="E780" s="24"/>
      <c r="F780" s="24"/>
      <c r="G780" s="24"/>
      <c r="H780" s="24"/>
      <c r="I780" s="24"/>
      <c r="J780" s="24"/>
      <c r="K780" s="24"/>
      <c r="L780" s="58">
        <f>IF(K780&gt;=0,K780,0)</f>
        <v>0</v>
      </c>
      <c r="M780" s="58">
        <f>IF(K780&lt;=0,K780,0)</f>
        <v>0</v>
      </c>
      <c r="N780" s="58">
        <f>L780+-M780</f>
        <v>0</v>
      </c>
      <c r="O780" s="19"/>
      <c r="P780" s="19">
        <f t="shared" si="29"/>
        <v>0</v>
      </c>
      <c r="Q780" s="19">
        <f t="shared" si="28"/>
        <v>0</v>
      </c>
    </row>
    <row r="781" spans="2:17" x14ac:dyDescent="0.2">
      <c r="B781" s="21"/>
      <c r="C781" s="22"/>
      <c r="D781" s="23"/>
      <c r="E781" s="24"/>
      <c r="F781" s="24"/>
      <c r="G781" s="24"/>
      <c r="H781" s="24"/>
      <c r="I781" s="24"/>
      <c r="J781" s="24"/>
      <c r="K781" s="24"/>
      <c r="L781" s="58">
        <f>IF(K781&gt;=0,K781,0)</f>
        <v>0</v>
      </c>
      <c r="M781" s="58">
        <f>IF(K781&lt;=0,K781,0)</f>
        <v>0</v>
      </c>
      <c r="N781" s="58">
        <f>L781+-M781</f>
        <v>0</v>
      </c>
      <c r="O781" s="19"/>
      <c r="P781" s="19">
        <f t="shared" si="29"/>
        <v>0</v>
      </c>
      <c r="Q781" s="19">
        <f t="shared" si="28"/>
        <v>0</v>
      </c>
    </row>
    <row r="782" spans="2:17" x14ac:dyDescent="0.2">
      <c r="B782" s="21"/>
      <c r="C782" s="22"/>
      <c r="D782" s="23"/>
      <c r="E782" s="24"/>
      <c r="F782" s="24"/>
      <c r="G782" s="24"/>
      <c r="H782" s="24"/>
      <c r="I782" s="24"/>
      <c r="J782" s="24"/>
      <c r="K782" s="24"/>
      <c r="L782" s="58">
        <f>IF(K782&gt;=0,K782,0)</f>
        <v>0</v>
      </c>
      <c r="M782" s="58">
        <f>IF(K782&lt;=0,K782,0)</f>
        <v>0</v>
      </c>
      <c r="N782" s="58">
        <f>L782+-M782</f>
        <v>0</v>
      </c>
      <c r="O782" s="19"/>
      <c r="P782" s="19">
        <f t="shared" si="29"/>
        <v>0</v>
      </c>
      <c r="Q782" s="19">
        <f t="shared" si="28"/>
        <v>0</v>
      </c>
    </row>
    <row r="783" spans="2:17" x14ac:dyDescent="0.2">
      <c r="B783" s="21"/>
      <c r="C783" s="22"/>
      <c r="D783" s="23"/>
      <c r="E783" s="24"/>
      <c r="F783" s="24"/>
      <c r="G783" s="24"/>
      <c r="H783" s="24"/>
      <c r="I783" s="24"/>
      <c r="J783" s="24"/>
      <c r="K783" s="24"/>
      <c r="L783" s="58">
        <f>IF(K783&gt;=0,K783,0)</f>
        <v>0</v>
      </c>
      <c r="M783" s="58">
        <f>IF(K783&lt;=0,K783,0)</f>
        <v>0</v>
      </c>
      <c r="N783" s="58">
        <f>L783+-M783</f>
        <v>0</v>
      </c>
      <c r="O783" s="19"/>
      <c r="P783" s="19">
        <f t="shared" si="29"/>
        <v>0</v>
      </c>
      <c r="Q783" s="19">
        <f t="shared" si="28"/>
        <v>0</v>
      </c>
    </row>
    <row r="784" spans="2:17" x14ac:dyDescent="0.2">
      <c r="B784" s="21"/>
      <c r="C784" s="22"/>
      <c r="D784" s="23"/>
      <c r="E784" s="24"/>
      <c r="F784" s="24"/>
      <c r="G784" s="24"/>
      <c r="H784" s="24"/>
      <c r="I784" s="24"/>
      <c r="J784" s="24"/>
      <c r="K784" s="24"/>
      <c r="L784" s="58">
        <f>IF(K784&gt;=0,K784,0)</f>
        <v>0</v>
      </c>
      <c r="M784" s="58">
        <f>IF(K784&lt;=0,K784,0)</f>
        <v>0</v>
      </c>
      <c r="N784" s="58">
        <f>L784+-M784</f>
        <v>0</v>
      </c>
      <c r="O784" s="19"/>
      <c r="P784" s="19">
        <f t="shared" si="29"/>
        <v>0</v>
      </c>
      <c r="Q784" s="19">
        <f t="shared" si="28"/>
        <v>0</v>
      </c>
    </row>
    <row r="785" spans="2:17" x14ac:dyDescent="0.2">
      <c r="B785" s="21"/>
      <c r="C785" s="22"/>
      <c r="D785" s="23"/>
      <c r="E785" s="24"/>
      <c r="F785" s="24"/>
      <c r="G785" s="24"/>
      <c r="H785" s="24"/>
      <c r="I785" s="24"/>
      <c r="J785" s="24"/>
      <c r="K785" s="24"/>
      <c r="L785" s="58">
        <f>IF(K785&gt;=0,K785,0)</f>
        <v>0</v>
      </c>
      <c r="M785" s="58">
        <f>IF(K785&lt;=0,K785,0)</f>
        <v>0</v>
      </c>
      <c r="N785" s="58">
        <f>L785+-M785</f>
        <v>0</v>
      </c>
      <c r="O785" s="19"/>
      <c r="P785" s="19">
        <f t="shared" si="29"/>
        <v>0</v>
      </c>
      <c r="Q785" s="19">
        <f t="shared" si="28"/>
        <v>0</v>
      </c>
    </row>
    <row r="786" spans="2:17" x14ac:dyDescent="0.2">
      <c r="B786" s="21"/>
      <c r="C786" s="22"/>
      <c r="D786" s="23"/>
      <c r="E786" s="24"/>
      <c r="F786" s="24"/>
      <c r="G786" s="24"/>
      <c r="H786" s="24"/>
      <c r="I786" s="24"/>
      <c r="J786" s="24"/>
      <c r="K786" s="24"/>
      <c r="L786" s="58">
        <f>IF(K786&gt;=0,K786,0)</f>
        <v>0</v>
      </c>
      <c r="M786" s="58">
        <f>IF(K786&lt;=0,K786,0)</f>
        <v>0</v>
      </c>
      <c r="N786" s="58">
        <f>L786+-M786</f>
        <v>0</v>
      </c>
      <c r="O786" s="19"/>
      <c r="P786" s="19">
        <f t="shared" si="29"/>
        <v>0</v>
      </c>
      <c r="Q786" s="19">
        <f t="shared" si="28"/>
        <v>0</v>
      </c>
    </row>
    <row r="787" spans="2:17" x14ac:dyDescent="0.2">
      <c r="B787" s="21"/>
      <c r="C787" s="22"/>
      <c r="D787" s="23"/>
      <c r="E787" s="24"/>
      <c r="F787" s="24"/>
      <c r="G787" s="24"/>
      <c r="H787" s="24"/>
      <c r="I787" s="24"/>
      <c r="J787" s="24"/>
      <c r="K787" s="24"/>
      <c r="L787" s="58">
        <f>IF(K787&gt;=0,K787,0)</f>
        <v>0</v>
      </c>
      <c r="M787" s="58">
        <f>IF(K787&lt;=0,K787,0)</f>
        <v>0</v>
      </c>
      <c r="N787" s="58">
        <f>L787+-M787</f>
        <v>0</v>
      </c>
      <c r="O787" s="19"/>
      <c r="P787" s="19">
        <f t="shared" si="29"/>
        <v>0</v>
      </c>
      <c r="Q787" s="19">
        <f t="shared" si="28"/>
        <v>0</v>
      </c>
    </row>
    <row r="788" spans="2:17" x14ac:dyDescent="0.2">
      <c r="B788" s="21"/>
      <c r="C788" s="22"/>
      <c r="D788" s="23"/>
      <c r="E788" s="24"/>
      <c r="F788" s="24"/>
      <c r="G788" s="24"/>
      <c r="H788" s="24"/>
      <c r="I788" s="24"/>
      <c r="J788" s="24"/>
      <c r="K788" s="24"/>
      <c r="L788" s="58">
        <f>IF(K788&gt;=0,K788,0)</f>
        <v>0</v>
      </c>
      <c r="M788" s="58">
        <f>IF(K788&lt;=0,K788,0)</f>
        <v>0</v>
      </c>
      <c r="N788" s="58">
        <f>L788+-M788</f>
        <v>0</v>
      </c>
      <c r="O788" s="19"/>
      <c r="P788" s="19">
        <f t="shared" si="29"/>
        <v>0</v>
      </c>
      <c r="Q788" s="19">
        <f t="shared" si="28"/>
        <v>0</v>
      </c>
    </row>
    <row r="789" spans="2:17" x14ac:dyDescent="0.2">
      <c r="B789" s="21"/>
      <c r="C789" s="22"/>
      <c r="D789" s="23"/>
      <c r="E789" s="24"/>
      <c r="F789" s="24"/>
      <c r="G789" s="24"/>
      <c r="H789" s="24"/>
      <c r="I789" s="24"/>
      <c r="J789" s="24"/>
      <c r="K789" s="24"/>
      <c r="L789" s="58">
        <f>IF(K789&gt;=0,K789,0)</f>
        <v>0</v>
      </c>
      <c r="M789" s="58">
        <f>IF(K789&lt;=0,K789,0)</f>
        <v>0</v>
      </c>
      <c r="N789" s="58">
        <f>L789+-M789</f>
        <v>0</v>
      </c>
      <c r="O789" s="19"/>
      <c r="P789" s="19">
        <f t="shared" si="29"/>
        <v>0</v>
      </c>
      <c r="Q789" s="19">
        <f t="shared" si="28"/>
        <v>0</v>
      </c>
    </row>
    <row r="790" spans="2:17" x14ac:dyDescent="0.2">
      <c r="B790" s="21"/>
      <c r="C790" s="22"/>
      <c r="D790" s="23"/>
      <c r="E790" s="24"/>
      <c r="F790" s="24"/>
      <c r="G790" s="24"/>
      <c r="H790" s="24"/>
      <c r="I790" s="24"/>
      <c r="J790" s="24"/>
      <c r="K790" s="24"/>
      <c r="L790" s="58">
        <f>IF(K790&gt;=0,K790,0)</f>
        <v>0</v>
      </c>
      <c r="M790" s="58">
        <f>IF(K790&lt;=0,K790,0)</f>
        <v>0</v>
      </c>
      <c r="N790" s="58">
        <f>L790+-M790</f>
        <v>0</v>
      </c>
      <c r="O790" s="19"/>
      <c r="P790" s="19">
        <f t="shared" si="29"/>
        <v>0</v>
      </c>
      <c r="Q790" s="19">
        <f t="shared" si="28"/>
        <v>0</v>
      </c>
    </row>
    <row r="791" spans="2:17" x14ac:dyDescent="0.2">
      <c r="B791" s="21"/>
      <c r="C791" s="22"/>
      <c r="D791" s="23"/>
      <c r="E791" s="24"/>
      <c r="F791" s="24"/>
      <c r="G791" s="24"/>
      <c r="H791" s="24"/>
      <c r="I791" s="24"/>
      <c r="J791" s="24"/>
      <c r="K791" s="24"/>
      <c r="L791" s="58">
        <f>IF(K791&gt;=0,K791,0)</f>
        <v>0</v>
      </c>
      <c r="M791" s="58">
        <f>IF(K791&lt;=0,K791,0)</f>
        <v>0</v>
      </c>
      <c r="N791" s="58">
        <f>L791+-M791</f>
        <v>0</v>
      </c>
      <c r="O791" s="19"/>
      <c r="P791" s="19">
        <f t="shared" si="29"/>
        <v>0</v>
      </c>
      <c r="Q791" s="19">
        <f t="shared" si="28"/>
        <v>0</v>
      </c>
    </row>
    <row r="792" spans="2:17" x14ac:dyDescent="0.2">
      <c r="B792" s="21"/>
      <c r="C792" s="22"/>
      <c r="D792" s="23"/>
      <c r="E792" s="24"/>
      <c r="F792" s="24"/>
      <c r="G792" s="24"/>
      <c r="H792" s="24"/>
      <c r="I792" s="24"/>
      <c r="J792" s="24"/>
      <c r="K792" s="24"/>
      <c r="L792" s="58">
        <f>IF(K792&gt;=0,K792,0)</f>
        <v>0</v>
      </c>
      <c r="M792" s="58">
        <f>IF(K792&lt;=0,K792,0)</f>
        <v>0</v>
      </c>
      <c r="N792" s="58">
        <f>L792+-M792</f>
        <v>0</v>
      </c>
      <c r="O792" s="19"/>
      <c r="P792" s="19">
        <f t="shared" si="29"/>
        <v>0</v>
      </c>
      <c r="Q792" s="19">
        <f t="shared" si="28"/>
        <v>0</v>
      </c>
    </row>
    <row r="793" spans="2:17" x14ac:dyDescent="0.2">
      <c r="B793" s="21"/>
      <c r="C793" s="22"/>
      <c r="D793" s="23"/>
      <c r="E793" s="24"/>
      <c r="F793" s="24"/>
      <c r="G793" s="24"/>
      <c r="H793" s="24"/>
      <c r="I793" s="24"/>
      <c r="J793" s="24"/>
      <c r="K793" s="24"/>
      <c r="L793" s="58">
        <f>IF(K793&gt;=0,K793,0)</f>
        <v>0</v>
      </c>
      <c r="M793" s="58">
        <f>IF(K793&lt;=0,K793,0)</f>
        <v>0</v>
      </c>
      <c r="N793" s="58">
        <f>L793+-M793</f>
        <v>0</v>
      </c>
      <c r="O793" s="19"/>
      <c r="P793" s="19">
        <f t="shared" si="29"/>
        <v>0</v>
      </c>
      <c r="Q793" s="19">
        <f t="shared" si="28"/>
        <v>0</v>
      </c>
    </row>
    <row r="794" spans="2:17" x14ac:dyDescent="0.2">
      <c r="B794" s="21"/>
      <c r="C794" s="22"/>
      <c r="D794" s="23"/>
      <c r="E794" s="24"/>
      <c r="F794" s="24"/>
      <c r="G794" s="24"/>
      <c r="H794" s="24"/>
      <c r="I794" s="24"/>
      <c r="J794" s="24"/>
      <c r="K794" s="24"/>
      <c r="L794" s="58">
        <f>IF(K794&gt;=0,K794,0)</f>
        <v>0</v>
      </c>
      <c r="M794" s="58">
        <f>IF(K794&lt;=0,K794,0)</f>
        <v>0</v>
      </c>
      <c r="N794" s="58">
        <f>L794+-M794</f>
        <v>0</v>
      </c>
      <c r="O794" s="19"/>
      <c r="P794" s="19">
        <f t="shared" si="29"/>
        <v>0</v>
      </c>
      <c r="Q794" s="19">
        <f t="shared" si="28"/>
        <v>0</v>
      </c>
    </row>
    <row r="795" spans="2:17" x14ac:dyDescent="0.2">
      <c r="B795" s="21"/>
      <c r="C795" s="22"/>
      <c r="D795" s="23"/>
      <c r="E795" s="24"/>
      <c r="F795" s="24"/>
      <c r="G795" s="24"/>
      <c r="H795" s="24"/>
      <c r="I795" s="24"/>
      <c r="J795" s="24"/>
      <c r="K795" s="24"/>
      <c r="L795" s="58">
        <f>IF(K795&gt;=0,K795,0)</f>
        <v>0</v>
      </c>
      <c r="M795" s="58">
        <f>IF(K795&lt;=0,K795,0)</f>
        <v>0</v>
      </c>
      <c r="N795" s="58">
        <f>L795+-M795</f>
        <v>0</v>
      </c>
      <c r="O795" s="19"/>
      <c r="P795" s="19">
        <f t="shared" si="29"/>
        <v>0</v>
      </c>
      <c r="Q795" s="19">
        <f t="shared" si="28"/>
        <v>0</v>
      </c>
    </row>
    <row r="796" spans="2:17" x14ac:dyDescent="0.2">
      <c r="B796" s="21"/>
      <c r="C796" s="22"/>
      <c r="D796" s="23"/>
      <c r="E796" s="24"/>
      <c r="F796" s="24"/>
      <c r="G796" s="24"/>
      <c r="H796" s="24"/>
      <c r="I796" s="24"/>
      <c r="J796" s="24"/>
      <c r="K796" s="24"/>
      <c r="L796" s="58">
        <f>IF(K796&gt;=0,K796,0)</f>
        <v>0</v>
      </c>
      <c r="M796" s="58">
        <f>IF(K796&lt;=0,K796,0)</f>
        <v>0</v>
      </c>
      <c r="N796" s="58">
        <f>L796+-M796</f>
        <v>0</v>
      </c>
      <c r="O796" s="19"/>
      <c r="P796" s="19">
        <f t="shared" si="29"/>
        <v>0</v>
      </c>
      <c r="Q796" s="19">
        <f t="shared" si="28"/>
        <v>0</v>
      </c>
    </row>
    <row r="797" spans="2:17" x14ac:dyDescent="0.2">
      <c r="B797" s="21"/>
      <c r="C797" s="22"/>
      <c r="D797" s="23"/>
      <c r="E797" s="24"/>
      <c r="F797" s="24"/>
      <c r="G797" s="24"/>
      <c r="H797" s="24"/>
      <c r="I797" s="24"/>
      <c r="J797" s="24"/>
      <c r="K797" s="24"/>
      <c r="L797" s="58">
        <f>IF(K797&gt;=0,K797,0)</f>
        <v>0</v>
      </c>
      <c r="M797" s="58">
        <f>IF(K797&lt;=0,K797,0)</f>
        <v>0</v>
      </c>
      <c r="N797" s="58">
        <f>L797+-M797</f>
        <v>0</v>
      </c>
      <c r="O797" s="19"/>
      <c r="P797" s="19">
        <f t="shared" si="29"/>
        <v>0</v>
      </c>
      <c r="Q797" s="19">
        <f t="shared" si="28"/>
        <v>0</v>
      </c>
    </row>
    <row r="798" spans="2:17" x14ac:dyDescent="0.2">
      <c r="B798" s="21"/>
      <c r="C798" s="22"/>
      <c r="D798" s="23"/>
      <c r="E798" s="24"/>
      <c r="F798" s="24"/>
      <c r="G798" s="24"/>
      <c r="H798" s="24"/>
      <c r="I798" s="24"/>
      <c r="J798" s="24"/>
      <c r="K798" s="24"/>
      <c r="L798" s="58">
        <f>IF(K798&gt;=0,K798,0)</f>
        <v>0</v>
      </c>
      <c r="M798" s="58">
        <f>IF(K798&lt;=0,K798,0)</f>
        <v>0</v>
      </c>
      <c r="N798" s="58">
        <f>L798+-M798</f>
        <v>0</v>
      </c>
      <c r="O798" s="19"/>
      <c r="P798" s="19">
        <f t="shared" si="29"/>
        <v>0</v>
      </c>
      <c r="Q798" s="19">
        <f t="shared" si="28"/>
        <v>0</v>
      </c>
    </row>
    <row r="799" spans="2:17" x14ac:dyDescent="0.2">
      <c r="B799" s="21"/>
      <c r="C799" s="22"/>
      <c r="D799" s="23"/>
      <c r="E799" s="24"/>
      <c r="F799" s="24"/>
      <c r="G799" s="24"/>
      <c r="H799" s="24"/>
      <c r="I799" s="24"/>
      <c r="J799" s="24"/>
      <c r="K799" s="24"/>
      <c r="L799" s="58">
        <f>IF(K799&gt;=0,K799,0)</f>
        <v>0</v>
      </c>
      <c r="M799" s="58">
        <f>IF(K799&lt;=0,K799,0)</f>
        <v>0</v>
      </c>
      <c r="N799" s="58">
        <f>L799+-M799</f>
        <v>0</v>
      </c>
      <c r="O799" s="19"/>
      <c r="P799" s="19">
        <f t="shared" si="29"/>
        <v>0</v>
      </c>
      <c r="Q799" s="19">
        <f t="shared" si="28"/>
        <v>0</v>
      </c>
    </row>
    <row r="800" spans="2:17" x14ac:dyDescent="0.2">
      <c r="B800" s="21"/>
      <c r="C800" s="22"/>
      <c r="D800" s="23"/>
      <c r="E800" s="24"/>
      <c r="F800" s="24"/>
      <c r="G800" s="24"/>
      <c r="H800" s="24"/>
      <c r="I800" s="24"/>
      <c r="J800" s="24"/>
      <c r="K800" s="24"/>
      <c r="L800" s="58">
        <f>IF(K800&gt;=0,K800,0)</f>
        <v>0</v>
      </c>
      <c r="M800" s="58">
        <f>IF(K800&lt;=0,K800,0)</f>
        <v>0</v>
      </c>
      <c r="N800" s="58">
        <f>L800+-M800</f>
        <v>0</v>
      </c>
      <c r="O800" s="19"/>
      <c r="P800" s="19">
        <f t="shared" si="29"/>
        <v>0</v>
      </c>
      <c r="Q800" s="19">
        <f t="shared" si="28"/>
        <v>0</v>
      </c>
    </row>
    <row r="801" spans="2:17" x14ac:dyDescent="0.2">
      <c r="B801" s="21"/>
      <c r="C801" s="22"/>
      <c r="D801" s="23"/>
      <c r="E801" s="24"/>
      <c r="F801" s="24"/>
      <c r="G801" s="24"/>
      <c r="H801" s="24"/>
      <c r="I801" s="24"/>
      <c r="J801" s="24"/>
      <c r="K801" s="24"/>
      <c r="L801" s="58">
        <f>IF(K801&gt;=0,K801,0)</f>
        <v>0</v>
      </c>
      <c r="M801" s="58">
        <f>IF(K801&lt;=0,K801,0)</f>
        <v>0</v>
      </c>
      <c r="N801" s="58">
        <f>L801+-M801</f>
        <v>0</v>
      </c>
      <c r="O801" s="19"/>
      <c r="P801" s="19">
        <f t="shared" si="29"/>
        <v>0</v>
      </c>
      <c r="Q801" s="19">
        <f t="shared" si="28"/>
        <v>0</v>
      </c>
    </row>
    <row r="802" spans="2:17" x14ac:dyDescent="0.2">
      <c r="B802" s="21"/>
      <c r="C802" s="22"/>
      <c r="D802" s="23"/>
      <c r="E802" s="24"/>
      <c r="F802" s="24"/>
      <c r="G802" s="24"/>
      <c r="H802" s="24"/>
      <c r="I802" s="24"/>
      <c r="J802" s="24"/>
      <c r="K802" s="24"/>
      <c r="L802" s="58">
        <f>IF(K802&gt;=0,K802,0)</f>
        <v>0</v>
      </c>
      <c r="M802" s="58">
        <f>IF(K802&lt;=0,K802,0)</f>
        <v>0</v>
      </c>
      <c r="N802" s="58">
        <f>L802+-M802</f>
        <v>0</v>
      </c>
      <c r="O802" s="19"/>
      <c r="P802" s="19">
        <f t="shared" si="29"/>
        <v>0</v>
      </c>
      <c r="Q802" s="19">
        <f t="shared" si="28"/>
        <v>0</v>
      </c>
    </row>
    <row r="803" spans="2:17" x14ac:dyDescent="0.2">
      <c r="B803" s="21"/>
      <c r="C803" s="22"/>
      <c r="D803" s="23"/>
      <c r="E803" s="24"/>
      <c r="F803" s="24"/>
      <c r="G803" s="24"/>
      <c r="H803" s="24"/>
      <c r="I803" s="24"/>
      <c r="J803" s="24"/>
      <c r="K803" s="24"/>
      <c r="L803" s="58">
        <f>IF(K803&gt;=0,K803,0)</f>
        <v>0</v>
      </c>
      <c r="M803" s="58">
        <f>IF(K803&lt;=0,K803,0)</f>
        <v>0</v>
      </c>
      <c r="N803" s="58">
        <f>L803+-M803</f>
        <v>0</v>
      </c>
      <c r="O803" s="19"/>
      <c r="P803" s="19">
        <f t="shared" si="29"/>
        <v>0</v>
      </c>
      <c r="Q803" s="19">
        <f t="shared" si="28"/>
        <v>0</v>
      </c>
    </row>
    <row r="804" spans="2:17" x14ac:dyDescent="0.2">
      <c r="B804" s="21"/>
      <c r="C804" s="22"/>
      <c r="D804" s="23"/>
      <c r="E804" s="24"/>
      <c r="F804" s="24"/>
      <c r="G804" s="24"/>
      <c r="H804" s="24"/>
      <c r="I804" s="24"/>
      <c r="J804" s="24"/>
      <c r="K804" s="24"/>
      <c r="L804" s="58">
        <f>IF(K804&gt;=0,K804,0)</f>
        <v>0</v>
      </c>
      <c r="M804" s="58">
        <f>IF(K804&lt;=0,K804,0)</f>
        <v>0</v>
      </c>
      <c r="N804" s="58">
        <f>L804+-M804</f>
        <v>0</v>
      </c>
      <c r="O804" s="19"/>
      <c r="P804" s="19">
        <f t="shared" si="29"/>
        <v>0</v>
      </c>
      <c r="Q804" s="19">
        <f t="shared" si="28"/>
        <v>0</v>
      </c>
    </row>
    <row r="805" spans="2:17" x14ac:dyDescent="0.2">
      <c r="B805" s="21"/>
      <c r="C805" s="22"/>
      <c r="D805" s="23"/>
      <c r="E805" s="24"/>
      <c r="F805" s="24"/>
      <c r="G805" s="24"/>
      <c r="H805" s="24"/>
      <c r="I805" s="24"/>
      <c r="J805" s="24"/>
      <c r="K805" s="24"/>
      <c r="L805" s="58">
        <f>IF(K805&gt;=0,K805,0)</f>
        <v>0</v>
      </c>
      <c r="M805" s="58">
        <f>IF(K805&lt;=0,K805,0)</f>
        <v>0</v>
      </c>
      <c r="N805" s="58">
        <f>L805+-M805</f>
        <v>0</v>
      </c>
      <c r="O805" s="19"/>
      <c r="P805" s="19">
        <f t="shared" si="29"/>
        <v>0</v>
      </c>
      <c r="Q805" s="19">
        <f t="shared" si="28"/>
        <v>0</v>
      </c>
    </row>
    <row r="806" spans="2:17" x14ac:dyDescent="0.2">
      <c r="B806" s="21"/>
      <c r="C806" s="22"/>
      <c r="D806" s="23"/>
      <c r="E806" s="24"/>
      <c r="F806" s="24"/>
      <c r="G806" s="24"/>
      <c r="H806" s="24"/>
      <c r="I806" s="24"/>
      <c r="J806" s="24"/>
      <c r="K806" s="24"/>
      <c r="L806" s="58">
        <f>IF(K806&gt;=0,K806,0)</f>
        <v>0</v>
      </c>
      <c r="M806" s="58">
        <f>IF(K806&lt;=0,K806,0)</f>
        <v>0</v>
      </c>
      <c r="N806" s="58">
        <f>L806+-M806</f>
        <v>0</v>
      </c>
      <c r="O806" s="19"/>
      <c r="P806" s="19">
        <f t="shared" si="29"/>
        <v>0</v>
      </c>
      <c r="Q806" s="19">
        <f t="shared" si="28"/>
        <v>0</v>
      </c>
    </row>
    <row r="807" spans="2:17" x14ac:dyDescent="0.2">
      <c r="B807" s="21"/>
      <c r="C807" s="22"/>
      <c r="D807" s="23"/>
      <c r="E807" s="24"/>
      <c r="F807" s="24"/>
      <c r="G807" s="24"/>
      <c r="H807" s="24"/>
      <c r="I807" s="24"/>
      <c r="J807" s="24"/>
      <c r="K807" s="24"/>
      <c r="L807" s="58">
        <f>IF(K807&gt;=0,K807,0)</f>
        <v>0</v>
      </c>
      <c r="M807" s="58">
        <f>IF(K807&lt;=0,K807,0)</f>
        <v>0</v>
      </c>
      <c r="N807" s="58">
        <f>L807+-M807</f>
        <v>0</v>
      </c>
      <c r="O807" s="19"/>
      <c r="P807" s="19">
        <f t="shared" si="29"/>
        <v>0</v>
      </c>
      <c r="Q807" s="19">
        <f t="shared" si="28"/>
        <v>0</v>
      </c>
    </row>
    <row r="808" spans="2:17" x14ac:dyDescent="0.2">
      <c r="B808" s="21"/>
      <c r="C808" s="22"/>
      <c r="D808" s="23"/>
      <c r="E808" s="24"/>
      <c r="F808" s="24"/>
      <c r="G808" s="24"/>
      <c r="H808" s="24"/>
      <c r="I808" s="24"/>
      <c r="J808" s="24"/>
      <c r="K808" s="24"/>
      <c r="L808" s="58">
        <f>IF(K808&gt;=0,K808,0)</f>
        <v>0</v>
      </c>
      <c r="M808" s="58">
        <f>IF(K808&lt;=0,K808,0)</f>
        <v>0</v>
      </c>
      <c r="N808" s="58">
        <f>L808+-M808</f>
        <v>0</v>
      </c>
      <c r="O808" s="19"/>
      <c r="P808" s="19">
        <f t="shared" si="29"/>
        <v>0</v>
      </c>
      <c r="Q808" s="19">
        <f t="shared" si="28"/>
        <v>0</v>
      </c>
    </row>
    <row r="809" spans="2:17" x14ac:dyDescent="0.2">
      <c r="B809" s="21"/>
      <c r="C809" s="22"/>
      <c r="D809" s="23"/>
      <c r="E809" s="24"/>
      <c r="F809" s="24"/>
      <c r="G809" s="24"/>
      <c r="H809" s="24"/>
      <c r="I809" s="24"/>
      <c r="J809" s="24"/>
      <c r="K809" s="24"/>
      <c r="L809" s="58">
        <f>IF(K809&gt;=0,K809,0)</f>
        <v>0</v>
      </c>
      <c r="M809" s="58">
        <f>IF(K809&lt;=0,K809,0)</f>
        <v>0</v>
      </c>
      <c r="N809" s="58">
        <f>L809+-M809</f>
        <v>0</v>
      </c>
      <c r="O809" s="19"/>
      <c r="P809" s="19">
        <f t="shared" si="29"/>
        <v>0</v>
      </c>
      <c r="Q809" s="19">
        <f t="shared" si="28"/>
        <v>0</v>
      </c>
    </row>
    <row r="810" spans="2:17" x14ac:dyDescent="0.2">
      <c r="B810" s="21"/>
      <c r="C810" s="22"/>
      <c r="D810" s="23"/>
      <c r="E810" s="24"/>
      <c r="F810" s="24"/>
      <c r="G810" s="24"/>
      <c r="H810" s="24"/>
      <c r="I810" s="24"/>
      <c r="J810" s="24"/>
      <c r="K810" s="24"/>
      <c r="L810" s="58">
        <f>IF(K810&gt;=0,K810,0)</f>
        <v>0</v>
      </c>
      <c r="M810" s="58">
        <f>IF(K810&lt;=0,K810,0)</f>
        <v>0</v>
      </c>
      <c r="N810" s="58">
        <f>L810+-M810</f>
        <v>0</v>
      </c>
      <c r="O810" s="19"/>
      <c r="P810" s="19">
        <f t="shared" si="29"/>
        <v>0</v>
      </c>
      <c r="Q810" s="19">
        <f t="shared" si="28"/>
        <v>0</v>
      </c>
    </row>
    <row r="811" spans="2:17" x14ac:dyDescent="0.2">
      <c r="B811" s="21"/>
      <c r="C811" s="22"/>
      <c r="D811" s="23"/>
      <c r="E811" s="24"/>
      <c r="F811" s="24"/>
      <c r="G811" s="24"/>
      <c r="H811" s="24"/>
      <c r="I811" s="24"/>
      <c r="J811" s="24"/>
      <c r="K811" s="24"/>
      <c r="L811" s="58">
        <f>IF(K811&gt;=0,K811,0)</f>
        <v>0</v>
      </c>
      <c r="M811" s="58">
        <f>IF(K811&lt;=0,K811,0)</f>
        <v>0</v>
      </c>
      <c r="N811" s="58">
        <f>L811+-M811</f>
        <v>0</v>
      </c>
      <c r="O811" s="19"/>
      <c r="P811" s="19">
        <f t="shared" si="29"/>
        <v>0</v>
      </c>
      <c r="Q811" s="19">
        <f t="shared" si="28"/>
        <v>0</v>
      </c>
    </row>
    <row r="812" spans="2:17" x14ac:dyDescent="0.2">
      <c r="B812" s="21"/>
      <c r="C812" s="22"/>
      <c r="D812" s="23"/>
      <c r="E812" s="24"/>
      <c r="F812" s="24"/>
      <c r="G812" s="24"/>
      <c r="H812" s="24"/>
      <c r="I812" s="24"/>
      <c r="J812" s="24"/>
      <c r="K812" s="24"/>
      <c r="L812" s="58">
        <f>IF(K812&gt;=0,K812,0)</f>
        <v>0</v>
      </c>
      <c r="M812" s="58">
        <f>IF(K812&lt;=0,K812,0)</f>
        <v>0</v>
      </c>
      <c r="N812" s="58">
        <f>L812+-M812</f>
        <v>0</v>
      </c>
      <c r="O812" s="19"/>
      <c r="P812" s="19">
        <f t="shared" si="29"/>
        <v>0</v>
      </c>
      <c r="Q812" s="19">
        <f t="shared" si="28"/>
        <v>0</v>
      </c>
    </row>
    <row r="813" spans="2:17" x14ac:dyDescent="0.2">
      <c r="B813" s="21"/>
      <c r="C813" s="22"/>
      <c r="D813" s="23"/>
      <c r="E813" s="24"/>
      <c r="F813" s="24"/>
      <c r="G813" s="24"/>
      <c r="H813" s="24"/>
      <c r="I813" s="24"/>
      <c r="J813" s="24"/>
      <c r="K813" s="24"/>
      <c r="L813" s="58">
        <f>IF(K813&gt;=0,K813,0)</f>
        <v>0</v>
      </c>
      <c r="M813" s="58">
        <f>IF(K813&lt;=0,K813,0)</f>
        <v>0</v>
      </c>
      <c r="N813" s="58">
        <f>L813+-M813</f>
        <v>0</v>
      </c>
      <c r="O813" s="19"/>
      <c r="P813" s="19">
        <f t="shared" si="29"/>
        <v>0</v>
      </c>
      <c r="Q813" s="19">
        <f t="shared" si="28"/>
        <v>0</v>
      </c>
    </row>
    <row r="814" spans="2:17" x14ac:dyDescent="0.2">
      <c r="B814" s="21"/>
      <c r="C814" s="22"/>
      <c r="D814" s="23"/>
      <c r="E814" s="24"/>
      <c r="F814" s="24"/>
      <c r="G814" s="24"/>
      <c r="H814" s="24"/>
      <c r="I814" s="24"/>
      <c r="J814" s="24"/>
      <c r="K814" s="24"/>
      <c r="L814" s="58">
        <f>IF(K814&gt;=0,K814,0)</f>
        <v>0</v>
      </c>
      <c r="M814" s="58">
        <f>IF(K814&lt;=0,K814,0)</f>
        <v>0</v>
      </c>
      <c r="N814" s="58">
        <f>L814+-M814</f>
        <v>0</v>
      </c>
      <c r="O814" s="19"/>
      <c r="P814" s="19">
        <f t="shared" si="29"/>
        <v>0</v>
      </c>
      <c r="Q814" s="19">
        <f t="shared" si="28"/>
        <v>0</v>
      </c>
    </row>
    <row r="815" spans="2:17" x14ac:dyDescent="0.2">
      <c r="B815" s="21"/>
      <c r="C815" s="22"/>
      <c r="D815" s="23"/>
      <c r="E815" s="24"/>
      <c r="F815" s="24"/>
      <c r="G815" s="24"/>
      <c r="H815" s="24"/>
      <c r="I815" s="24"/>
      <c r="J815" s="24"/>
      <c r="K815" s="24"/>
      <c r="L815" s="58">
        <f>IF(K815&gt;=0,K815,0)</f>
        <v>0</v>
      </c>
      <c r="M815" s="58">
        <f>IF(K815&lt;=0,K815,0)</f>
        <v>0</v>
      </c>
      <c r="N815" s="58">
        <f>L815+-M815</f>
        <v>0</v>
      </c>
      <c r="O815" s="19"/>
      <c r="P815" s="19">
        <f t="shared" si="29"/>
        <v>0</v>
      </c>
      <c r="Q815" s="19">
        <f t="shared" si="28"/>
        <v>0</v>
      </c>
    </row>
    <row r="816" spans="2:17" x14ac:dyDescent="0.2">
      <c r="B816" s="21"/>
      <c r="C816" s="22"/>
      <c r="D816" s="23"/>
      <c r="E816" s="24"/>
      <c r="F816" s="24"/>
      <c r="G816" s="24"/>
      <c r="H816" s="24"/>
      <c r="I816" s="24"/>
      <c r="J816" s="24"/>
      <c r="K816" s="24"/>
      <c r="L816" s="58">
        <f>IF(K816&gt;=0,K816,0)</f>
        <v>0</v>
      </c>
      <c r="M816" s="58">
        <f>IF(K816&lt;=0,K816,0)</f>
        <v>0</v>
      </c>
      <c r="N816" s="58">
        <f>L816+-M816</f>
        <v>0</v>
      </c>
      <c r="O816" s="19"/>
      <c r="P816" s="19">
        <f t="shared" si="29"/>
        <v>0</v>
      </c>
      <c r="Q816" s="19">
        <f t="shared" si="28"/>
        <v>0</v>
      </c>
    </row>
    <row r="817" spans="2:17" x14ac:dyDescent="0.2">
      <c r="B817" s="21"/>
      <c r="C817" s="22"/>
      <c r="D817" s="23"/>
      <c r="E817" s="24"/>
      <c r="F817" s="24"/>
      <c r="G817" s="24"/>
      <c r="H817" s="24"/>
      <c r="I817" s="24"/>
      <c r="J817" s="24"/>
      <c r="K817" s="24"/>
      <c r="L817" s="58">
        <f>IF(K817&gt;=0,K817,0)</f>
        <v>0</v>
      </c>
      <c r="M817" s="58">
        <f>IF(K817&lt;=0,K817,0)</f>
        <v>0</v>
      </c>
      <c r="N817" s="58">
        <f>L817+-M817</f>
        <v>0</v>
      </c>
      <c r="O817" s="19"/>
      <c r="P817" s="19">
        <f t="shared" si="29"/>
        <v>0</v>
      </c>
      <c r="Q817" s="19">
        <f t="shared" si="28"/>
        <v>0</v>
      </c>
    </row>
    <row r="818" spans="2:17" x14ac:dyDescent="0.2">
      <c r="B818" s="21"/>
      <c r="C818" s="22"/>
      <c r="D818" s="23"/>
      <c r="E818" s="24"/>
      <c r="F818" s="24"/>
      <c r="G818" s="24"/>
      <c r="H818" s="24"/>
      <c r="I818" s="24"/>
      <c r="J818" s="24"/>
      <c r="K818" s="24"/>
      <c r="L818" s="58">
        <f>IF(K818&gt;=0,K818,0)</f>
        <v>0</v>
      </c>
      <c r="M818" s="58">
        <f>IF(K818&lt;=0,K818,0)</f>
        <v>0</v>
      </c>
      <c r="N818" s="58">
        <f>L818+-M818</f>
        <v>0</v>
      </c>
      <c r="O818" s="19"/>
      <c r="P818" s="19">
        <f t="shared" si="29"/>
        <v>0</v>
      </c>
      <c r="Q818" s="19">
        <f t="shared" si="28"/>
        <v>0</v>
      </c>
    </row>
    <row r="819" spans="2:17" x14ac:dyDescent="0.2">
      <c r="B819" s="21"/>
      <c r="C819" s="22"/>
      <c r="D819" s="23"/>
      <c r="E819" s="24"/>
      <c r="F819" s="24"/>
      <c r="G819" s="24"/>
      <c r="H819" s="24"/>
      <c r="I819" s="24"/>
      <c r="J819" s="24"/>
      <c r="K819" s="24"/>
      <c r="L819" s="58">
        <f>IF(K819&gt;=0,K819,0)</f>
        <v>0</v>
      </c>
      <c r="M819" s="58">
        <f>IF(K819&lt;=0,K819,0)</f>
        <v>0</v>
      </c>
      <c r="N819" s="58">
        <f>L819+-M819</f>
        <v>0</v>
      </c>
      <c r="O819" s="19"/>
      <c r="P819" s="19">
        <f t="shared" si="29"/>
        <v>0</v>
      </c>
      <c r="Q819" s="19">
        <f t="shared" si="28"/>
        <v>0</v>
      </c>
    </row>
    <row r="820" spans="2:17" x14ac:dyDescent="0.2">
      <c r="B820" s="21"/>
      <c r="C820" s="22"/>
      <c r="D820" s="23"/>
      <c r="E820" s="24"/>
      <c r="F820" s="24"/>
      <c r="G820" s="24"/>
      <c r="H820" s="24"/>
      <c r="I820" s="24"/>
      <c r="J820" s="24"/>
      <c r="K820" s="24"/>
      <c r="L820" s="58">
        <f>IF(K820&gt;=0,K820,0)</f>
        <v>0</v>
      </c>
      <c r="M820" s="58">
        <f>IF(K820&lt;=0,K820,0)</f>
        <v>0</v>
      </c>
      <c r="N820" s="58">
        <f>L820+-M820</f>
        <v>0</v>
      </c>
      <c r="O820" s="19"/>
      <c r="P820" s="19">
        <f t="shared" si="29"/>
        <v>0</v>
      </c>
      <c r="Q820" s="19">
        <f t="shared" si="28"/>
        <v>0</v>
      </c>
    </row>
    <row r="821" spans="2:17" x14ac:dyDescent="0.2">
      <c r="B821" s="21"/>
      <c r="C821" s="22"/>
      <c r="D821" s="23"/>
      <c r="E821" s="24"/>
      <c r="F821" s="24"/>
      <c r="G821" s="24"/>
      <c r="H821" s="24"/>
      <c r="I821" s="24"/>
      <c r="J821" s="24"/>
      <c r="K821" s="24"/>
      <c r="L821" s="58">
        <f>IF(K821&gt;=0,K821,0)</f>
        <v>0</v>
      </c>
      <c r="M821" s="58">
        <f>IF(K821&lt;=0,K821,0)</f>
        <v>0</v>
      </c>
      <c r="N821" s="58">
        <f>L821+-M821</f>
        <v>0</v>
      </c>
      <c r="O821" s="19"/>
      <c r="P821" s="19">
        <f t="shared" si="29"/>
        <v>0</v>
      </c>
      <c r="Q821" s="19">
        <f t="shared" si="28"/>
        <v>0</v>
      </c>
    </row>
    <row r="822" spans="2:17" x14ac:dyDescent="0.2">
      <c r="B822" s="21"/>
      <c r="C822" s="22"/>
      <c r="D822" s="23"/>
      <c r="E822" s="24"/>
      <c r="F822" s="24"/>
      <c r="G822" s="24"/>
      <c r="H822" s="24"/>
      <c r="I822" s="24"/>
      <c r="J822" s="24"/>
      <c r="K822" s="24"/>
      <c r="L822" s="58">
        <f>IF(K822&gt;=0,K822,0)</f>
        <v>0</v>
      </c>
      <c r="M822" s="58">
        <f>IF(K822&lt;=0,K822,0)</f>
        <v>0</v>
      </c>
      <c r="N822" s="58">
        <f>L822+-M822</f>
        <v>0</v>
      </c>
      <c r="O822" s="19"/>
      <c r="P822" s="19">
        <f t="shared" si="29"/>
        <v>0</v>
      </c>
      <c r="Q822" s="19">
        <f t="shared" si="28"/>
        <v>0</v>
      </c>
    </row>
    <row r="823" spans="2:17" x14ac:dyDescent="0.2">
      <c r="B823" s="21"/>
      <c r="C823" s="22"/>
      <c r="D823" s="23"/>
      <c r="E823" s="24"/>
      <c r="F823" s="24"/>
      <c r="G823" s="24"/>
      <c r="H823" s="24"/>
      <c r="I823" s="24"/>
      <c r="J823" s="24"/>
      <c r="K823" s="24"/>
      <c r="L823" s="58">
        <f>IF(K823&gt;=0,K823,0)</f>
        <v>0</v>
      </c>
      <c r="M823" s="58">
        <f>IF(K823&lt;=0,K823,0)</f>
        <v>0</v>
      </c>
      <c r="N823" s="58">
        <f>L823+-M823</f>
        <v>0</v>
      </c>
      <c r="O823" s="19"/>
      <c r="P823" s="19">
        <f t="shared" si="29"/>
        <v>0</v>
      </c>
      <c r="Q823" s="19">
        <f t="shared" si="28"/>
        <v>0</v>
      </c>
    </row>
    <row r="824" spans="2:17" x14ac:dyDescent="0.2">
      <c r="B824" s="21"/>
      <c r="C824" s="22"/>
      <c r="D824" s="23"/>
      <c r="E824" s="24"/>
      <c r="F824" s="24"/>
      <c r="G824" s="24"/>
      <c r="H824" s="24"/>
      <c r="I824" s="24"/>
      <c r="J824" s="24"/>
      <c r="K824" s="24"/>
      <c r="L824" s="58">
        <f>IF(K824&gt;=0,K824,0)</f>
        <v>0</v>
      </c>
      <c r="M824" s="58">
        <f>IF(K824&lt;=0,K824,0)</f>
        <v>0</v>
      </c>
      <c r="N824" s="58">
        <f>L824+-M824</f>
        <v>0</v>
      </c>
      <c r="O824" s="19"/>
      <c r="P824" s="19">
        <f t="shared" si="29"/>
        <v>0</v>
      </c>
      <c r="Q824" s="19">
        <f t="shared" si="28"/>
        <v>0</v>
      </c>
    </row>
    <row r="825" spans="2:17" x14ac:dyDescent="0.2">
      <c r="B825" s="21"/>
      <c r="C825" s="22"/>
      <c r="D825" s="23"/>
      <c r="E825" s="24"/>
      <c r="F825" s="24"/>
      <c r="G825" s="24"/>
      <c r="H825" s="24"/>
      <c r="I825" s="24"/>
      <c r="J825" s="24"/>
      <c r="K825" s="24"/>
      <c r="L825" s="58">
        <f>IF(K825&gt;=0,K825,0)</f>
        <v>0</v>
      </c>
      <c r="M825" s="58">
        <f>IF(K825&lt;=0,K825,0)</f>
        <v>0</v>
      </c>
      <c r="N825" s="58">
        <f>L825+-M825</f>
        <v>0</v>
      </c>
      <c r="O825" s="19"/>
      <c r="P825" s="19">
        <f t="shared" si="29"/>
        <v>0</v>
      </c>
      <c r="Q825" s="19">
        <f t="shared" si="28"/>
        <v>0</v>
      </c>
    </row>
    <row r="826" spans="2:17" x14ac:dyDescent="0.2">
      <c r="B826" s="21"/>
      <c r="C826" s="22"/>
      <c r="D826" s="23"/>
      <c r="E826" s="24"/>
      <c r="F826" s="24"/>
      <c r="G826" s="24"/>
      <c r="H826" s="24"/>
      <c r="I826" s="24"/>
      <c r="J826" s="24"/>
      <c r="K826" s="24"/>
      <c r="L826" s="58">
        <f>IF(K826&gt;=0,K826,0)</f>
        <v>0</v>
      </c>
      <c r="M826" s="58">
        <f>IF(K826&lt;=0,K826,0)</f>
        <v>0</v>
      </c>
      <c r="N826" s="58">
        <f>L826+-M826</f>
        <v>0</v>
      </c>
      <c r="O826" s="19"/>
      <c r="P826" s="19">
        <f t="shared" si="29"/>
        <v>0</v>
      </c>
      <c r="Q826" s="19">
        <f t="shared" si="28"/>
        <v>0</v>
      </c>
    </row>
    <row r="827" spans="2:17" x14ac:dyDescent="0.2">
      <c r="B827" s="21"/>
      <c r="C827" s="22"/>
      <c r="D827" s="23"/>
      <c r="E827" s="24"/>
      <c r="F827" s="24"/>
      <c r="G827" s="24"/>
      <c r="H827" s="24"/>
      <c r="I827" s="24"/>
      <c r="J827" s="24"/>
      <c r="K827" s="24"/>
      <c r="L827" s="58">
        <f>IF(K827&gt;=0,K827,0)</f>
        <v>0</v>
      </c>
      <c r="M827" s="58">
        <f>IF(K827&lt;=0,K827,0)</f>
        <v>0</v>
      </c>
      <c r="N827" s="58">
        <f>L827+-M827</f>
        <v>0</v>
      </c>
      <c r="O827" s="19"/>
      <c r="P827" s="19">
        <f t="shared" si="29"/>
        <v>0</v>
      </c>
      <c r="Q827" s="19">
        <f t="shared" si="28"/>
        <v>0</v>
      </c>
    </row>
    <row r="828" spans="2:17" x14ac:dyDescent="0.2">
      <c r="B828" s="21"/>
      <c r="C828" s="22"/>
      <c r="D828" s="23"/>
      <c r="E828" s="24"/>
      <c r="F828" s="24"/>
      <c r="G828" s="24"/>
      <c r="H828" s="24"/>
      <c r="I828" s="24"/>
      <c r="J828" s="24"/>
      <c r="K828" s="24"/>
      <c r="L828" s="58">
        <f>IF(K828&gt;=0,K828,0)</f>
        <v>0</v>
      </c>
      <c r="M828" s="58">
        <f>IF(K828&lt;=0,K828,0)</f>
        <v>0</v>
      </c>
      <c r="N828" s="58">
        <f>L828+-M828</f>
        <v>0</v>
      </c>
      <c r="O828" s="19"/>
      <c r="P828" s="19">
        <f t="shared" si="29"/>
        <v>0</v>
      </c>
      <c r="Q828" s="19">
        <f t="shared" ref="Q828:Q891" si="30">P828+Q827</f>
        <v>0</v>
      </c>
    </row>
    <row r="829" spans="2:17" x14ac:dyDescent="0.2">
      <c r="B829" s="21"/>
      <c r="C829" s="22"/>
      <c r="D829" s="23"/>
      <c r="E829" s="24"/>
      <c r="F829" s="24"/>
      <c r="G829" s="24"/>
      <c r="H829" s="24"/>
      <c r="I829" s="24"/>
      <c r="J829" s="24"/>
      <c r="K829" s="24"/>
      <c r="L829" s="58">
        <f>IF(K829&gt;=0,K829,0)</f>
        <v>0</v>
      </c>
      <c r="M829" s="58">
        <f>IF(K829&lt;=0,K829,0)</f>
        <v>0</v>
      </c>
      <c r="N829" s="58">
        <f>L829+-M829</f>
        <v>0</v>
      </c>
      <c r="O829" s="19"/>
      <c r="P829" s="19">
        <f t="shared" si="29"/>
        <v>0</v>
      </c>
      <c r="Q829" s="19">
        <f t="shared" si="30"/>
        <v>0</v>
      </c>
    </row>
    <row r="830" spans="2:17" x14ac:dyDescent="0.2">
      <c r="B830" s="21"/>
      <c r="C830" s="22"/>
      <c r="D830" s="23"/>
      <c r="E830" s="24"/>
      <c r="F830" s="24"/>
      <c r="G830" s="24"/>
      <c r="H830" s="24"/>
      <c r="I830" s="24"/>
      <c r="J830" s="24"/>
      <c r="K830" s="24"/>
      <c r="L830" s="58">
        <f>IF(K830&gt;=0,K830,0)</f>
        <v>0</v>
      </c>
      <c r="M830" s="58">
        <f>IF(K830&lt;=0,K830,0)</f>
        <v>0</v>
      </c>
      <c r="N830" s="58">
        <f>L830+-M830</f>
        <v>0</v>
      </c>
      <c r="O830" s="19"/>
      <c r="P830" s="19">
        <f t="shared" si="29"/>
        <v>0</v>
      </c>
      <c r="Q830" s="19">
        <f t="shared" si="30"/>
        <v>0</v>
      </c>
    </row>
    <row r="831" spans="2:17" x14ac:dyDescent="0.2">
      <c r="B831" s="21"/>
      <c r="C831" s="22"/>
      <c r="D831" s="23"/>
      <c r="E831" s="24"/>
      <c r="F831" s="24"/>
      <c r="G831" s="24"/>
      <c r="H831" s="24"/>
      <c r="I831" s="24"/>
      <c r="J831" s="24"/>
      <c r="K831" s="24"/>
      <c r="L831" s="58">
        <f>IF(K831&gt;=0,K831,0)</f>
        <v>0</v>
      </c>
      <c r="M831" s="58">
        <f>IF(K831&lt;=0,K831,0)</f>
        <v>0</v>
      </c>
      <c r="N831" s="58">
        <f>L831+-M831</f>
        <v>0</v>
      </c>
      <c r="O831" s="19"/>
      <c r="P831" s="19">
        <f t="shared" si="29"/>
        <v>0</v>
      </c>
      <c r="Q831" s="19">
        <f t="shared" si="30"/>
        <v>0</v>
      </c>
    </row>
    <row r="832" spans="2:17" x14ac:dyDescent="0.2">
      <c r="B832" s="21"/>
      <c r="C832" s="22"/>
      <c r="D832" s="23"/>
      <c r="E832" s="24"/>
      <c r="F832" s="24"/>
      <c r="G832" s="24"/>
      <c r="H832" s="24"/>
      <c r="I832" s="24"/>
      <c r="J832" s="24"/>
      <c r="K832" s="24"/>
      <c r="L832" s="58">
        <f>IF(K832&gt;=0,K832,0)</f>
        <v>0</v>
      </c>
      <c r="M832" s="58">
        <f>IF(K832&lt;=0,K832,0)</f>
        <v>0</v>
      </c>
      <c r="N832" s="58">
        <f>L832+-M832</f>
        <v>0</v>
      </c>
      <c r="O832" s="19"/>
      <c r="P832" s="19">
        <f t="shared" si="29"/>
        <v>0</v>
      </c>
      <c r="Q832" s="19">
        <f t="shared" si="30"/>
        <v>0</v>
      </c>
    </row>
    <row r="833" spans="2:17" x14ac:dyDescent="0.2">
      <c r="B833" s="21"/>
      <c r="C833" s="22"/>
      <c r="D833" s="23"/>
      <c r="E833" s="24"/>
      <c r="F833" s="24"/>
      <c r="G833" s="24"/>
      <c r="H833" s="24"/>
      <c r="I833" s="24"/>
      <c r="J833" s="24"/>
      <c r="K833" s="24"/>
      <c r="L833" s="58">
        <f>IF(K833&gt;=0,K833,0)</f>
        <v>0</v>
      </c>
      <c r="M833" s="58">
        <f>IF(K833&lt;=0,K833,0)</f>
        <v>0</v>
      </c>
      <c r="N833" s="58">
        <f>L833+-M833</f>
        <v>0</v>
      </c>
      <c r="O833" s="19"/>
      <c r="P833" s="19">
        <f t="shared" si="29"/>
        <v>0</v>
      </c>
      <c r="Q833" s="19">
        <f t="shared" si="30"/>
        <v>0</v>
      </c>
    </row>
    <row r="834" spans="2:17" x14ac:dyDescent="0.2">
      <c r="B834" s="21"/>
      <c r="C834" s="22"/>
      <c r="D834" s="23"/>
      <c r="E834" s="24"/>
      <c r="F834" s="24"/>
      <c r="G834" s="24"/>
      <c r="H834" s="24"/>
      <c r="I834" s="24"/>
      <c r="J834" s="24"/>
      <c r="K834" s="24"/>
      <c r="L834" s="58">
        <f>IF(K834&gt;=0,K834,0)</f>
        <v>0</v>
      </c>
      <c r="M834" s="58">
        <f>IF(K834&lt;=0,K834,0)</f>
        <v>0</v>
      </c>
      <c r="N834" s="58">
        <f>L834+-M834</f>
        <v>0</v>
      </c>
      <c r="O834" s="19"/>
      <c r="P834" s="19">
        <f t="shared" si="29"/>
        <v>0</v>
      </c>
      <c r="Q834" s="19">
        <f t="shared" si="30"/>
        <v>0</v>
      </c>
    </row>
    <row r="835" spans="2:17" x14ac:dyDescent="0.2">
      <c r="B835" s="21"/>
      <c r="C835" s="22"/>
      <c r="D835" s="23"/>
      <c r="E835" s="24"/>
      <c r="F835" s="24"/>
      <c r="G835" s="24"/>
      <c r="H835" s="24"/>
      <c r="I835" s="24"/>
      <c r="J835" s="24"/>
      <c r="K835" s="24"/>
      <c r="L835" s="58">
        <f>IF(K835&gt;=0,K835,0)</f>
        <v>0</v>
      </c>
      <c r="M835" s="58">
        <f>IF(K835&lt;=0,K835,0)</f>
        <v>0</v>
      </c>
      <c r="N835" s="58">
        <f>L835+-M835</f>
        <v>0</v>
      </c>
      <c r="O835" s="19"/>
      <c r="P835" s="19">
        <f t="shared" si="29"/>
        <v>0</v>
      </c>
      <c r="Q835" s="19">
        <f t="shared" si="30"/>
        <v>0</v>
      </c>
    </row>
    <row r="836" spans="2:17" x14ac:dyDescent="0.2">
      <c r="B836" s="21"/>
      <c r="C836" s="22"/>
      <c r="D836" s="23"/>
      <c r="E836" s="24"/>
      <c r="F836" s="24"/>
      <c r="G836" s="24"/>
      <c r="H836" s="24"/>
      <c r="I836" s="24"/>
      <c r="J836" s="24"/>
      <c r="K836" s="24"/>
      <c r="L836" s="58">
        <f>IF(K836&gt;=0,K836,0)</f>
        <v>0</v>
      </c>
      <c r="M836" s="58">
        <f>IF(K836&lt;=0,K836,0)</f>
        <v>0</v>
      </c>
      <c r="N836" s="58">
        <f>L836+-M836</f>
        <v>0</v>
      </c>
      <c r="O836" s="19"/>
      <c r="P836" s="19">
        <f t="shared" si="29"/>
        <v>0</v>
      </c>
      <c r="Q836" s="19">
        <f t="shared" si="30"/>
        <v>0</v>
      </c>
    </row>
    <row r="837" spans="2:17" x14ac:dyDescent="0.2">
      <c r="B837" s="21"/>
      <c r="C837" s="22"/>
      <c r="D837" s="23"/>
      <c r="E837" s="24"/>
      <c r="F837" s="24"/>
      <c r="G837" s="24"/>
      <c r="H837" s="24"/>
      <c r="I837" s="24"/>
      <c r="J837" s="24"/>
      <c r="K837" s="24"/>
      <c r="L837" s="58">
        <f>IF(K837&gt;=0,K837,0)</f>
        <v>0</v>
      </c>
      <c r="M837" s="58">
        <f>IF(K837&lt;=0,K837,0)</f>
        <v>0</v>
      </c>
      <c r="N837" s="58">
        <f>L837+-M837</f>
        <v>0</v>
      </c>
      <c r="O837" s="19"/>
      <c r="P837" s="19">
        <f t="shared" si="29"/>
        <v>0</v>
      </c>
      <c r="Q837" s="19">
        <f t="shared" si="30"/>
        <v>0</v>
      </c>
    </row>
    <row r="838" spans="2:17" x14ac:dyDescent="0.2">
      <c r="B838" s="21"/>
      <c r="C838" s="22"/>
      <c r="D838" s="23"/>
      <c r="E838" s="24"/>
      <c r="F838" s="24"/>
      <c r="G838" s="24"/>
      <c r="H838" s="24"/>
      <c r="I838" s="24"/>
      <c r="J838" s="24"/>
      <c r="K838" s="24"/>
      <c r="L838" s="58">
        <f>IF(K838&gt;=0,K838,0)</f>
        <v>0</v>
      </c>
      <c r="M838" s="58">
        <f>IF(K838&lt;=0,K838,0)</f>
        <v>0</v>
      </c>
      <c r="N838" s="58">
        <f>L838+-M838</f>
        <v>0</v>
      </c>
      <c r="O838" s="19"/>
      <c r="P838" s="19">
        <f t="shared" si="29"/>
        <v>0</v>
      </c>
      <c r="Q838" s="19">
        <f t="shared" si="30"/>
        <v>0</v>
      </c>
    </row>
    <row r="839" spans="2:17" x14ac:dyDescent="0.2">
      <c r="B839" s="21"/>
      <c r="C839" s="22"/>
      <c r="D839" s="23"/>
      <c r="E839" s="24"/>
      <c r="F839" s="24"/>
      <c r="G839" s="24"/>
      <c r="H839" s="24"/>
      <c r="I839" s="24"/>
      <c r="J839" s="24"/>
      <c r="K839" s="24"/>
      <c r="L839" s="58">
        <f>IF(K839&gt;=0,K839,0)</f>
        <v>0</v>
      </c>
      <c r="M839" s="58">
        <f>IF(K839&lt;=0,K839,0)</f>
        <v>0</v>
      </c>
      <c r="N839" s="58">
        <f>L839+-M839</f>
        <v>0</v>
      </c>
      <c r="O839" s="19"/>
      <c r="P839" s="19">
        <f t="shared" ref="P839:P902" si="31">N839/$N$1055</f>
        <v>0</v>
      </c>
      <c r="Q839" s="19">
        <f t="shared" si="30"/>
        <v>0</v>
      </c>
    </row>
    <row r="840" spans="2:17" x14ac:dyDescent="0.2">
      <c r="B840" s="21"/>
      <c r="C840" s="22"/>
      <c r="D840" s="23"/>
      <c r="E840" s="24"/>
      <c r="F840" s="24"/>
      <c r="G840" s="24"/>
      <c r="H840" s="24"/>
      <c r="I840" s="24"/>
      <c r="J840" s="24"/>
      <c r="K840" s="24"/>
      <c r="L840" s="58">
        <f>IF(K840&gt;=0,K840,0)</f>
        <v>0</v>
      </c>
      <c r="M840" s="58">
        <f>IF(K840&lt;=0,K840,0)</f>
        <v>0</v>
      </c>
      <c r="N840" s="58">
        <f>L840+-M840</f>
        <v>0</v>
      </c>
      <c r="O840" s="19"/>
      <c r="P840" s="19">
        <f t="shared" si="31"/>
        <v>0</v>
      </c>
      <c r="Q840" s="19">
        <f t="shared" si="30"/>
        <v>0</v>
      </c>
    </row>
    <row r="841" spans="2:17" x14ac:dyDescent="0.2">
      <c r="B841" s="21"/>
      <c r="C841" s="22"/>
      <c r="D841" s="23"/>
      <c r="E841" s="24"/>
      <c r="F841" s="24"/>
      <c r="G841" s="24"/>
      <c r="H841" s="24"/>
      <c r="I841" s="24"/>
      <c r="J841" s="24"/>
      <c r="K841" s="24"/>
      <c r="L841" s="58">
        <f>IF(K841&gt;=0,K841,0)</f>
        <v>0</v>
      </c>
      <c r="M841" s="58">
        <f>IF(K841&lt;=0,K841,0)</f>
        <v>0</v>
      </c>
      <c r="N841" s="58">
        <f>L841+-M841</f>
        <v>0</v>
      </c>
      <c r="O841" s="19"/>
      <c r="P841" s="19">
        <f t="shared" si="31"/>
        <v>0</v>
      </c>
      <c r="Q841" s="19">
        <f t="shared" si="30"/>
        <v>0</v>
      </c>
    </row>
    <row r="842" spans="2:17" x14ac:dyDescent="0.2">
      <c r="B842" s="21"/>
      <c r="C842" s="22"/>
      <c r="D842" s="23"/>
      <c r="E842" s="24"/>
      <c r="F842" s="24"/>
      <c r="G842" s="24"/>
      <c r="H842" s="24"/>
      <c r="I842" s="24"/>
      <c r="J842" s="24"/>
      <c r="K842" s="24"/>
      <c r="L842" s="58">
        <f>IF(K842&gt;=0,K842,0)</f>
        <v>0</v>
      </c>
      <c r="M842" s="58">
        <f>IF(K842&lt;=0,K842,0)</f>
        <v>0</v>
      </c>
      <c r="N842" s="58">
        <f>L842+-M842</f>
        <v>0</v>
      </c>
      <c r="O842" s="19"/>
      <c r="P842" s="19">
        <f t="shared" si="31"/>
        <v>0</v>
      </c>
      <c r="Q842" s="19">
        <f t="shared" si="30"/>
        <v>0</v>
      </c>
    </row>
    <row r="843" spans="2:17" x14ac:dyDescent="0.2">
      <c r="B843" s="21"/>
      <c r="C843" s="22"/>
      <c r="D843" s="23"/>
      <c r="E843" s="24"/>
      <c r="F843" s="24"/>
      <c r="G843" s="24"/>
      <c r="H843" s="24"/>
      <c r="I843" s="24"/>
      <c r="J843" s="24"/>
      <c r="K843" s="24"/>
      <c r="L843" s="58">
        <f>IF(K843&gt;=0,K843,0)</f>
        <v>0</v>
      </c>
      <c r="M843" s="58">
        <f>IF(K843&lt;=0,K843,0)</f>
        <v>0</v>
      </c>
      <c r="N843" s="58">
        <f>L843+-M843</f>
        <v>0</v>
      </c>
      <c r="O843" s="19"/>
      <c r="P843" s="19">
        <f t="shared" si="31"/>
        <v>0</v>
      </c>
      <c r="Q843" s="19">
        <f t="shared" si="30"/>
        <v>0</v>
      </c>
    </row>
    <row r="844" spans="2:17" x14ac:dyDescent="0.2">
      <c r="B844" s="21"/>
      <c r="C844" s="22"/>
      <c r="D844" s="23"/>
      <c r="E844" s="24"/>
      <c r="F844" s="24"/>
      <c r="G844" s="24"/>
      <c r="H844" s="24"/>
      <c r="I844" s="24"/>
      <c r="J844" s="24"/>
      <c r="K844" s="24"/>
      <c r="L844" s="58">
        <f>IF(K844&gt;=0,K844,0)</f>
        <v>0</v>
      </c>
      <c r="M844" s="58">
        <f>IF(K844&lt;=0,K844,0)</f>
        <v>0</v>
      </c>
      <c r="N844" s="58">
        <f>L844+-M844</f>
        <v>0</v>
      </c>
      <c r="O844" s="19"/>
      <c r="P844" s="19">
        <f t="shared" si="31"/>
        <v>0</v>
      </c>
      <c r="Q844" s="19">
        <f t="shared" si="30"/>
        <v>0</v>
      </c>
    </row>
    <row r="845" spans="2:17" x14ac:dyDescent="0.2">
      <c r="B845" s="21"/>
      <c r="C845" s="22"/>
      <c r="D845" s="23"/>
      <c r="E845" s="24"/>
      <c r="F845" s="24"/>
      <c r="G845" s="24"/>
      <c r="H845" s="24"/>
      <c r="I845" s="24"/>
      <c r="J845" s="24"/>
      <c r="K845" s="24"/>
      <c r="L845" s="58">
        <f>IF(K845&gt;=0,K845,0)</f>
        <v>0</v>
      </c>
      <c r="M845" s="58">
        <f>IF(K845&lt;=0,K845,0)</f>
        <v>0</v>
      </c>
      <c r="N845" s="58">
        <f>L845+-M845</f>
        <v>0</v>
      </c>
      <c r="O845" s="19"/>
      <c r="P845" s="19">
        <f t="shared" si="31"/>
        <v>0</v>
      </c>
      <c r="Q845" s="19">
        <f t="shared" si="30"/>
        <v>0</v>
      </c>
    </row>
    <row r="846" spans="2:17" x14ac:dyDescent="0.2">
      <c r="B846" s="21"/>
      <c r="C846" s="22"/>
      <c r="D846" s="23"/>
      <c r="E846" s="24"/>
      <c r="F846" s="24"/>
      <c r="G846" s="24"/>
      <c r="H846" s="24"/>
      <c r="I846" s="24"/>
      <c r="J846" s="24"/>
      <c r="K846" s="24"/>
      <c r="L846" s="58">
        <f>IF(K846&gt;=0,K846,0)</f>
        <v>0</v>
      </c>
      <c r="M846" s="58">
        <f>IF(K846&lt;=0,K846,0)</f>
        <v>0</v>
      </c>
      <c r="N846" s="58">
        <f>L846+-M846</f>
        <v>0</v>
      </c>
      <c r="O846" s="19"/>
      <c r="P846" s="19">
        <f t="shared" si="31"/>
        <v>0</v>
      </c>
      <c r="Q846" s="19">
        <f t="shared" si="30"/>
        <v>0</v>
      </c>
    </row>
    <row r="847" spans="2:17" x14ac:dyDescent="0.2">
      <c r="B847" s="21"/>
      <c r="C847" s="22"/>
      <c r="D847" s="23"/>
      <c r="E847" s="24"/>
      <c r="F847" s="24"/>
      <c r="G847" s="24"/>
      <c r="H847" s="24"/>
      <c r="I847" s="24"/>
      <c r="J847" s="24"/>
      <c r="K847" s="24"/>
      <c r="L847" s="58">
        <f>IF(K847&gt;=0,K847,0)</f>
        <v>0</v>
      </c>
      <c r="M847" s="58">
        <f>IF(K847&lt;=0,K847,0)</f>
        <v>0</v>
      </c>
      <c r="N847" s="58">
        <f>L847+-M847</f>
        <v>0</v>
      </c>
      <c r="O847" s="19"/>
      <c r="P847" s="19">
        <f t="shared" si="31"/>
        <v>0</v>
      </c>
      <c r="Q847" s="19">
        <f t="shared" si="30"/>
        <v>0</v>
      </c>
    </row>
    <row r="848" spans="2:17" x14ac:dyDescent="0.2">
      <c r="B848" s="21"/>
      <c r="C848" s="22"/>
      <c r="D848" s="23"/>
      <c r="E848" s="24"/>
      <c r="F848" s="24"/>
      <c r="G848" s="24"/>
      <c r="H848" s="24"/>
      <c r="I848" s="24"/>
      <c r="J848" s="24"/>
      <c r="K848" s="24"/>
      <c r="L848" s="58">
        <f>IF(K848&gt;=0,K848,0)</f>
        <v>0</v>
      </c>
      <c r="M848" s="58">
        <f>IF(K848&lt;=0,K848,0)</f>
        <v>0</v>
      </c>
      <c r="N848" s="58">
        <f>L848+-M848</f>
        <v>0</v>
      </c>
      <c r="O848" s="19"/>
      <c r="P848" s="19">
        <f t="shared" si="31"/>
        <v>0</v>
      </c>
      <c r="Q848" s="19">
        <f t="shared" si="30"/>
        <v>0</v>
      </c>
    </row>
    <row r="849" spans="2:17" x14ac:dyDescent="0.2">
      <c r="B849" s="21"/>
      <c r="C849" s="22"/>
      <c r="D849" s="23"/>
      <c r="E849" s="24"/>
      <c r="F849" s="24"/>
      <c r="G849" s="24"/>
      <c r="H849" s="24"/>
      <c r="I849" s="24"/>
      <c r="J849" s="24"/>
      <c r="K849" s="24"/>
      <c r="L849" s="58">
        <f>IF(K849&gt;=0,K849,0)</f>
        <v>0</v>
      </c>
      <c r="M849" s="58">
        <f>IF(K849&lt;=0,K849,0)</f>
        <v>0</v>
      </c>
      <c r="N849" s="58">
        <f>L849+-M849</f>
        <v>0</v>
      </c>
      <c r="O849" s="19"/>
      <c r="P849" s="19">
        <f t="shared" si="31"/>
        <v>0</v>
      </c>
      <c r="Q849" s="19">
        <f t="shared" si="30"/>
        <v>0</v>
      </c>
    </row>
    <row r="850" spans="2:17" x14ac:dyDescent="0.2">
      <c r="B850" s="21"/>
      <c r="C850" s="22"/>
      <c r="D850" s="23"/>
      <c r="E850" s="24"/>
      <c r="F850" s="24"/>
      <c r="G850" s="24"/>
      <c r="H850" s="24"/>
      <c r="I850" s="24"/>
      <c r="J850" s="24"/>
      <c r="K850" s="24"/>
      <c r="L850" s="58">
        <f>IF(K850&gt;=0,K850,0)</f>
        <v>0</v>
      </c>
      <c r="M850" s="58">
        <f>IF(K850&lt;=0,K850,0)</f>
        <v>0</v>
      </c>
      <c r="N850" s="58">
        <f>L850+-M850</f>
        <v>0</v>
      </c>
      <c r="O850" s="19"/>
      <c r="P850" s="19">
        <f t="shared" si="31"/>
        <v>0</v>
      </c>
      <c r="Q850" s="19">
        <f t="shared" si="30"/>
        <v>0</v>
      </c>
    </row>
    <row r="851" spans="2:17" x14ac:dyDescent="0.2">
      <c r="B851" s="21"/>
      <c r="C851" s="22"/>
      <c r="D851" s="23"/>
      <c r="E851" s="24"/>
      <c r="F851" s="24"/>
      <c r="G851" s="24"/>
      <c r="H851" s="24"/>
      <c r="I851" s="24"/>
      <c r="J851" s="24"/>
      <c r="K851" s="24"/>
      <c r="L851" s="58">
        <f>IF(K851&gt;=0,K851,0)</f>
        <v>0</v>
      </c>
      <c r="M851" s="58">
        <f>IF(K851&lt;=0,K851,0)</f>
        <v>0</v>
      </c>
      <c r="N851" s="58">
        <f>L851+-M851</f>
        <v>0</v>
      </c>
      <c r="O851" s="19"/>
      <c r="P851" s="19">
        <f t="shared" si="31"/>
        <v>0</v>
      </c>
      <c r="Q851" s="19">
        <f t="shared" si="30"/>
        <v>0</v>
      </c>
    </row>
    <row r="852" spans="2:17" x14ac:dyDescent="0.2">
      <c r="B852" s="21"/>
      <c r="C852" s="22"/>
      <c r="D852" s="23"/>
      <c r="E852" s="24"/>
      <c r="F852" s="24"/>
      <c r="G852" s="24"/>
      <c r="H852" s="24"/>
      <c r="I852" s="24"/>
      <c r="J852" s="24"/>
      <c r="K852" s="24"/>
      <c r="L852" s="58">
        <f>IF(K852&gt;=0,K852,0)</f>
        <v>0</v>
      </c>
      <c r="M852" s="58">
        <f>IF(K852&lt;=0,K852,0)</f>
        <v>0</v>
      </c>
      <c r="N852" s="58">
        <f>L852+-M852</f>
        <v>0</v>
      </c>
      <c r="O852" s="19"/>
      <c r="P852" s="19">
        <f t="shared" si="31"/>
        <v>0</v>
      </c>
      <c r="Q852" s="19">
        <f t="shared" si="30"/>
        <v>0</v>
      </c>
    </row>
    <row r="853" spans="2:17" x14ac:dyDescent="0.2">
      <c r="B853" s="21"/>
      <c r="C853" s="22"/>
      <c r="D853" s="23"/>
      <c r="E853" s="24"/>
      <c r="F853" s="24"/>
      <c r="G853" s="24"/>
      <c r="H853" s="24"/>
      <c r="I853" s="24"/>
      <c r="J853" s="24"/>
      <c r="K853" s="24"/>
      <c r="L853" s="58">
        <f>IF(K853&gt;=0,K853,0)</f>
        <v>0</v>
      </c>
      <c r="M853" s="58">
        <f>IF(K853&lt;=0,K853,0)</f>
        <v>0</v>
      </c>
      <c r="N853" s="58">
        <f>L853+-M853</f>
        <v>0</v>
      </c>
      <c r="O853" s="19"/>
      <c r="P853" s="19">
        <f t="shared" si="31"/>
        <v>0</v>
      </c>
      <c r="Q853" s="19">
        <f t="shared" si="30"/>
        <v>0</v>
      </c>
    </row>
    <row r="854" spans="2:17" x14ac:dyDescent="0.2">
      <c r="B854" s="21"/>
      <c r="C854" s="22"/>
      <c r="D854" s="23"/>
      <c r="E854" s="24"/>
      <c r="F854" s="24"/>
      <c r="G854" s="24"/>
      <c r="H854" s="24"/>
      <c r="I854" s="24"/>
      <c r="J854" s="24"/>
      <c r="K854" s="24"/>
      <c r="L854" s="58">
        <f>IF(K854&gt;=0,K854,0)</f>
        <v>0</v>
      </c>
      <c r="M854" s="58">
        <f>IF(K854&lt;=0,K854,0)</f>
        <v>0</v>
      </c>
      <c r="N854" s="58">
        <f>L854+-M854</f>
        <v>0</v>
      </c>
      <c r="O854" s="19"/>
      <c r="P854" s="19">
        <f t="shared" si="31"/>
        <v>0</v>
      </c>
      <c r="Q854" s="19">
        <f t="shared" si="30"/>
        <v>0</v>
      </c>
    </row>
    <row r="855" spans="2:17" x14ac:dyDescent="0.2">
      <c r="B855" s="21"/>
      <c r="C855" s="22"/>
      <c r="D855" s="23"/>
      <c r="E855" s="24"/>
      <c r="F855" s="24"/>
      <c r="G855" s="24"/>
      <c r="H855" s="24"/>
      <c r="I855" s="24"/>
      <c r="J855" s="24"/>
      <c r="K855" s="24"/>
      <c r="L855" s="58">
        <f>IF(K855&gt;=0,K855,0)</f>
        <v>0</v>
      </c>
      <c r="M855" s="58">
        <f>IF(K855&lt;=0,K855,0)</f>
        <v>0</v>
      </c>
      <c r="N855" s="58">
        <f>L855+-M855</f>
        <v>0</v>
      </c>
      <c r="O855" s="19"/>
      <c r="P855" s="19">
        <f t="shared" si="31"/>
        <v>0</v>
      </c>
      <c r="Q855" s="19">
        <f t="shared" si="30"/>
        <v>0</v>
      </c>
    </row>
    <row r="856" spans="2:17" x14ac:dyDescent="0.2">
      <c r="B856" s="21"/>
      <c r="C856" s="22"/>
      <c r="D856" s="23"/>
      <c r="E856" s="24"/>
      <c r="F856" s="24"/>
      <c r="G856" s="24"/>
      <c r="H856" s="24"/>
      <c r="I856" s="24"/>
      <c r="J856" s="24"/>
      <c r="K856" s="24"/>
      <c r="L856" s="58">
        <f>IF(K856&gt;=0,K856,0)</f>
        <v>0</v>
      </c>
      <c r="M856" s="58">
        <f>IF(K856&lt;=0,K856,0)</f>
        <v>0</v>
      </c>
      <c r="N856" s="58">
        <f>L856+-M856</f>
        <v>0</v>
      </c>
      <c r="O856" s="19"/>
      <c r="P856" s="19">
        <f t="shared" si="31"/>
        <v>0</v>
      </c>
      <c r="Q856" s="19">
        <f t="shared" si="30"/>
        <v>0</v>
      </c>
    </row>
    <row r="857" spans="2:17" x14ac:dyDescent="0.2">
      <c r="B857" s="21"/>
      <c r="C857" s="22"/>
      <c r="D857" s="23"/>
      <c r="E857" s="24"/>
      <c r="F857" s="24"/>
      <c r="G857" s="24"/>
      <c r="H857" s="24"/>
      <c r="I857" s="24"/>
      <c r="J857" s="24"/>
      <c r="K857" s="24"/>
      <c r="L857" s="58">
        <f>IF(K857&gt;=0,K857,0)</f>
        <v>0</v>
      </c>
      <c r="M857" s="58">
        <f>IF(K857&lt;=0,K857,0)</f>
        <v>0</v>
      </c>
      <c r="N857" s="58">
        <f>L857+-M857</f>
        <v>0</v>
      </c>
      <c r="O857" s="19"/>
      <c r="P857" s="19">
        <f t="shared" si="31"/>
        <v>0</v>
      </c>
      <c r="Q857" s="19">
        <f t="shared" si="30"/>
        <v>0</v>
      </c>
    </row>
    <row r="858" spans="2:17" x14ac:dyDescent="0.2">
      <c r="B858" s="21"/>
      <c r="C858" s="22"/>
      <c r="D858" s="23"/>
      <c r="E858" s="24"/>
      <c r="F858" s="24"/>
      <c r="G858" s="24"/>
      <c r="H858" s="24"/>
      <c r="I858" s="24"/>
      <c r="J858" s="24"/>
      <c r="K858" s="24"/>
      <c r="L858" s="58">
        <f>IF(K858&gt;=0,K858,0)</f>
        <v>0</v>
      </c>
      <c r="M858" s="58">
        <f>IF(K858&lt;=0,K858,0)</f>
        <v>0</v>
      </c>
      <c r="N858" s="58">
        <f>L858+-M858</f>
        <v>0</v>
      </c>
      <c r="O858" s="19"/>
      <c r="P858" s="19">
        <f t="shared" si="31"/>
        <v>0</v>
      </c>
      <c r="Q858" s="19">
        <f t="shared" si="30"/>
        <v>0</v>
      </c>
    </row>
    <row r="859" spans="2:17" x14ac:dyDescent="0.2">
      <c r="B859" s="21"/>
      <c r="C859" s="22"/>
      <c r="D859" s="23"/>
      <c r="E859" s="24"/>
      <c r="F859" s="24"/>
      <c r="G859" s="24"/>
      <c r="H859" s="24"/>
      <c r="I859" s="24"/>
      <c r="J859" s="24"/>
      <c r="K859" s="24"/>
      <c r="L859" s="58">
        <f>IF(K859&gt;=0,K859,0)</f>
        <v>0</v>
      </c>
      <c r="M859" s="58">
        <f>IF(K859&lt;=0,K859,0)</f>
        <v>0</v>
      </c>
      <c r="N859" s="58">
        <f>L859+-M859</f>
        <v>0</v>
      </c>
      <c r="O859" s="19"/>
      <c r="P859" s="19">
        <f t="shared" si="31"/>
        <v>0</v>
      </c>
      <c r="Q859" s="19">
        <f t="shared" si="30"/>
        <v>0</v>
      </c>
    </row>
    <row r="860" spans="2:17" x14ac:dyDescent="0.2">
      <c r="B860" s="21"/>
      <c r="C860" s="22"/>
      <c r="D860" s="23"/>
      <c r="E860" s="24"/>
      <c r="F860" s="24"/>
      <c r="G860" s="24"/>
      <c r="H860" s="24"/>
      <c r="I860" s="24"/>
      <c r="J860" s="24"/>
      <c r="K860" s="24"/>
      <c r="L860" s="58">
        <f>IF(K860&gt;=0,K860,0)</f>
        <v>0</v>
      </c>
      <c r="M860" s="58">
        <f>IF(K860&lt;=0,K860,0)</f>
        <v>0</v>
      </c>
      <c r="N860" s="58">
        <f>L860+-M860</f>
        <v>0</v>
      </c>
      <c r="O860" s="19"/>
      <c r="P860" s="19">
        <f t="shared" si="31"/>
        <v>0</v>
      </c>
      <c r="Q860" s="19">
        <f t="shared" si="30"/>
        <v>0</v>
      </c>
    </row>
    <row r="861" spans="2:17" x14ac:dyDescent="0.2">
      <c r="B861" s="21"/>
      <c r="C861" s="22"/>
      <c r="D861" s="23"/>
      <c r="E861" s="24"/>
      <c r="F861" s="24"/>
      <c r="G861" s="24"/>
      <c r="H861" s="24"/>
      <c r="I861" s="24"/>
      <c r="J861" s="24"/>
      <c r="K861" s="24"/>
      <c r="L861" s="58">
        <f>IF(K861&gt;=0,K861,0)</f>
        <v>0</v>
      </c>
      <c r="M861" s="58">
        <f>IF(K861&lt;=0,K861,0)</f>
        <v>0</v>
      </c>
      <c r="N861" s="58">
        <f>L861+-M861</f>
        <v>0</v>
      </c>
      <c r="O861" s="19"/>
      <c r="P861" s="19">
        <f t="shared" si="31"/>
        <v>0</v>
      </c>
      <c r="Q861" s="19">
        <f t="shared" si="30"/>
        <v>0</v>
      </c>
    </row>
    <row r="862" spans="2:17" x14ac:dyDescent="0.2">
      <c r="B862" s="21"/>
      <c r="C862" s="22"/>
      <c r="D862" s="23"/>
      <c r="E862" s="24"/>
      <c r="F862" s="24"/>
      <c r="G862" s="24"/>
      <c r="H862" s="24"/>
      <c r="I862" s="24"/>
      <c r="J862" s="24"/>
      <c r="K862" s="24"/>
      <c r="L862" s="58">
        <f>IF(K862&gt;=0,K862,0)</f>
        <v>0</v>
      </c>
      <c r="M862" s="58">
        <f>IF(K862&lt;=0,K862,0)</f>
        <v>0</v>
      </c>
      <c r="N862" s="58">
        <f>L862+-M862</f>
        <v>0</v>
      </c>
      <c r="O862" s="19"/>
      <c r="P862" s="19">
        <f t="shared" si="31"/>
        <v>0</v>
      </c>
      <c r="Q862" s="19">
        <f t="shared" si="30"/>
        <v>0</v>
      </c>
    </row>
    <row r="863" spans="2:17" x14ac:dyDescent="0.2">
      <c r="B863" s="21"/>
      <c r="C863" s="22"/>
      <c r="D863" s="23"/>
      <c r="E863" s="24"/>
      <c r="F863" s="24"/>
      <c r="G863" s="24"/>
      <c r="H863" s="24"/>
      <c r="I863" s="24"/>
      <c r="J863" s="24"/>
      <c r="K863" s="24"/>
      <c r="L863" s="58">
        <f>IF(K863&gt;=0,K863,0)</f>
        <v>0</v>
      </c>
      <c r="M863" s="58">
        <f>IF(K863&lt;=0,K863,0)</f>
        <v>0</v>
      </c>
      <c r="N863" s="58">
        <f>L863+-M863</f>
        <v>0</v>
      </c>
      <c r="O863" s="19"/>
      <c r="P863" s="19">
        <f t="shared" si="31"/>
        <v>0</v>
      </c>
      <c r="Q863" s="19">
        <f t="shared" si="30"/>
        <v>0</v>
      </c>
    </row>
    <row r="864" spans="2:17" x14ac:dyDescent="0.2">
      <c r="B864" s="21"/>
      <c r="C864" s="22"/>
      <c r="D864" s="23"/>
      <c r="E864" s="24"/>
      <c r="F864" s="24"/>
      <c r="G864" s="24"/>
      <c r="H864" s="24"/>
      <c r="I864" s="24"/>
      <c r="J864" s="24"/>
      <c r="K864" s="24"/>
      <c r="L864" s="58">
        <f>IF(K864&gt;=0,K864,0)</f>
        <v>0</v>
      </c>
      <c r="M864" s="58">
        <f>IF(K864&lt;=0,K864,0)</f>
        <v>0</v>
      </c>
      <c r="N864" s="58">
        <f>L864+-M864</f>
        <v>0</v>
      </c>
      <c r="O864" s="19"/>
      <c r="P864" s="19">
        <f t="shared" si="31"/>
        <v>0</v>
      </c>
      <c r="Q864" s="19">
        <f t="shared" si="30"/>
        <v>0</v>
      </c>
    </row>
    <row r="865" spans="2:17" x14ac:dyDescent="0.2">
      <c r="B865" s="21"/>
      <c r="C865" s="22"/>
      <c r="D865" s="23"/>
      <c r="E865" s="24"/>
      <c r="F865" s="24"/>
      <c r="G865" s="24"/>
      <c r="H865" s="24"/>
      <c r="I865" s="24"/>
      <c r="J865" s="24"/>
      <c r="K865" s="24"/>
      <c r="L865" s="58">
        <f>IF(K865&gt;=0,K865,0)</f>
        <v>0</v>
      </c>
      <c r="M865" s="58">
        <f>IF(K865&lt;=0,K865,0)</f>
        <v>0</v>
      </c>
      <c r="N865" s="58">
        <f>L865+-M865</f>
        <v>0</v>
      </c>
      <c r="O865" s="19"/>
      <c r="P865" s="19">
        <f t="shared" si="31"/>
        <v>0</v>
      </c>
      <c r="Q865" s="19">
        <f t="shared" si="30"/>
        <v>0</v>
      </c>
    </row>
    <row r="866" spans="2:17" x14ac:dyDescent="0.2">
      <c r="B866" s="21"/>
      <c r="C866" s="22"/>
      <c r="D866" s="23"/>
      <c r="E866" s="24"/>
      <c r="F866" s="24"/>
      <c r="G866" s="24"/>
      <c r="H866" s="24"/>
      <c r="I866" s="24"/>
      <c r="J866" s="24"/>
      <c r="K866" s="24"/>
      <c r="L866" s="58">
        <f>IF(K866&gt;=0,K866,0)</f>
        <v>0</v>
      </c>
      <c r="M866" s="58">
        <f>IF(K866&lt;=0,K866,0)</f>
        <v>0</v>
      </c>
      <c r="N866" s="58">
        <f>L866+-M866</f>
        <v>0</v>
      </c>
      <c r="O866" s="19"/>
      <c r="P866" s="19">
        <f t="shared" si="31"/>
        <v>0</v>
      </c>
      <c r="Q866" s="19">
        <f t="shared" si="30"/>
        <v>0</v>
      </c>
    </row>
    <row r="867" spans="2:17" x14ac:dyDescent="0.2">
      <c r="B867" s="21"/>
      <c r="C867" s="22"/>
      <c r="D867" s="23"/>
      <c r="E867" s="24"/>
      <c r="F867" s="24"/>
      <c r="G867" s="24"/>
      <c r="H867" s="24"/>
      <c r="I867" s="24"/>
      <c r="J867" s="24"/>
      <c r="K867" s="24"/>
      <c r="L867" s="58">
        <f>IF(K867&gt;=0,K867,0)</f>
        <v>0</v>
      </c>
      <c r="M867" s="58">
        <f>IF(K867&lt;=0,K867,0)</f>
        <v>0</v>
      </c>
      <c r="N867" s="58">
        <f>L867+-M867</f>
        <v>0</v>
      </c>
      <c r="O867" s="19"/>
      <c r="P867" s="19">
        <f t="shared" si="31"/>
        <v>0</v>
      </c>
      <c r="Q867" s="19">
        <f t="shared" si="30"/>
        <v>0</v>
      </c>
    </row>
    <row r="868" spans="2:17" x14ac:dyDescent="0.2">
      <c r="B868" s="21"/>
      <c r="C868" s="22"/>
      <c r="D868" s="23"/>
      <c r="E868" s="24"/>
      <c r="F868" s="24"/>
      <c r="G868" s="24"/>
      <c r="H868" s="24"/>
      <c r="I868" s="24"/>
      <c r="J868" s="24"/>
      <c r="K868" s="24"/>
      <c r="L868" s="58">
        <f>IF(K868&gt;=0,K868,0)</f>
        <v>0</v>
      </c>
      <c r="M868" s="58">
        <f>IF(K868&lt;=0,K868,0)</f>
        <v>0</v>
      </c>
      <c r="N868" s="58">
        <f>L868+-M868</f>
        <v>0</v>
      </c>
      <c r="O868" s="19"/>
      <c r="P868" s="19">
        <f t="shared" si="31"/>
        <v>0</v>
      </c>
      <c r="Q868" s="19">
        <f t="shared" si="30"/>
        <v>0</v>
      </c>
    </row>
    <row r="869" spans="2:17" x14ac:dyDescent="0.2">
      <c r="B869" s="21"/>
      <c r="C869" s="22"/>
      <c r="D869" s="23"/>
      <c r="E869" s="24"/>
      <c r="F869" s="24"/>
      <c r="G869" s="24"/>
      <c r="H869" s="24"/>
      <c r="I869" s="24"/>
      <c r="J869" s="24"/>
      <c r="K869" s="24"/>
      <c r="L869" s="58">
        <f>IF(K869&gt;=0,K869,0)</f>
        <v>0</v>
      </c>
      <c r="M869" s="58">
        <f>IF(K869&lt;=0,K869,0)</f>
        <v>0</v>
      </c>
      <c r="N869" s="58">
        <f>L869+-M869</f>
        <v>0</v>
      </c>
      <c r="O869" s="19"/>
      <c r="P869" s="19">
        <f t="shared" si="31"/>
        <v>0</v>
      </c>
      <c r="Q869" s="19">
        <f t="shared" si="30"/>
        <v>0</v>
      </c>
    </row>
    <row r="870" spans="2:17" x14ac:dyDescent="0.2">
      <c r="B870" s="21"/>
      <c r="C870" s="22"/>
      <c r="D870" s="23"/>
      <c r="E870" s="24"/>
      <c r="F870" s="24"/>
      <c r="G870" s="24"/>
      <c r="H870" s="24"/>
      <c r="I870" s="24"/>
      <c r="J870" s="24"/>
      <c r="K870" s="24"/>
      <c r="L870" s="58">
        <f>IF(K870&gt;=0,K870,0)</f>
        <v>0</v>
      </c>
      <c r="M870" s="58">
        <f>IF(K870&lt;=0,K870,0)</f>
        <v>0</v>
      </c>
      <c r="N870" s="58">
        <f>L870+-M870</f>
        <v>0</v>
      </c>
      <c r="O870" s="19"/>
      <c r="P870" s="19">
        <f t="shared" si="31"/>
        <v>0</v>
      </c>
      <c r="Q870" s="19">
        <f t="shared" si="30"/>
        <v>0</v>
      </c>
    </row>
    <row r="871" spans="2:17" x14ac:dyDescent="0.2">
      <c r="B871" s="21"/>
      <c r="C871" s="22"/>
      <c r="D871" s="23"/>
      <c r="E871" s="24"/>
      <c r="F871" s="24"/>
      <c r="G871" s="24"/>
      <c r="H871" s="24"/>
      <c r="I871" s="24"/>
      <c r="J871" s="24"/>
      <c r="K871" s="24"/>
      <c r="L871" s="58">
        <f>IF(K871&gt;=0,K871,0)</f>
        <v>0</v>
      </c>
      <c r="M871" s="58">
        <f>IF(K871&lt;=0,K871,0)</f>
        <v>0</v>
      </c>
      <c r="N871" s="58">
        <f>L871+-M871</f>
        <v>0</v>
      </c>
      <c r="O871" s="19"/>
      <c r="P871" s="19">
        <f t="shared" si="31"/>
        <v>0</v>
      </c>
      <c r="Q871" s="19">
        <f t="shared" si="30"/>
        <v>0</v>
      </c>
    </row>
    <row r="872" spans="2:17" x14ac:dyDescent="0.2">
      <c r="B872" s="21"/>
      <c r="C872" s="22"/>
      <c r="D872" s="23"/>
      <c r="E872" s="24"/>
      <c r="F872" s="24"/>
      <c r="G872" s="24"/>
      <c r="H872" s="24"/>
      <c r="I872" s="24"/>
      <c r="J872" s="24"/>
      <c r="K872" s="24"/>
      <c r="L872" s="58">
        <f>IF(K872&gt;=0,K872,0)</f>
        <v>0</v>
      </c>
      <c r="M872" s="58">
        <f>IF(K872&lt;=0,K872,0)</f>
        <v>0</v>
      </c>
      <c r="N872" s="58">
        <f>L872+-M872</f>
        <v>0</v>
      </c>
      <c r="O872" s="19"/>
      <c r="P872" s="19">
        <f t="shared" si="31"/>
        <v>0</v>
      </c>
      <c r="Q872" s="19">
        <f t="shared" si="30"/>
        <v>0</v>
      </c>
    </row>
    <row r="873" spans="2:17" x14ac:dyDescent="0.2">
      <c r="B873" s="21"/>
      <c r="C873" s="22"/>
      <c r="D873" s="23"/>
      <c r="E873" s="24"/>
      <c r="F873" s="24"/>
      <c r="G873" s="24"/>
      <c r="H873" s="24"/>
      <c r="I873" s="24"/>
      <c r="J873" s="24"/>
      <c r="K873" s="24"/>
      <c r="L873" s="58">
        <f>IF(K873&gt;=0,K873,0)</f>
        <v>0</v>
      </c>
      <c r="M873" s="58">
        <f>IF(K873&lt;=0,K873,0)</f>
        <v>0</v>
      </c>
      <c r="N873" s="58">
        <f>L873+-M873</f>
        <v>0</v>
      </c>
      <c r="O873" s="19"/>
      <c r="P873" s="19">
        <f t="shared" si="31"/>
        <v>0</v>
      </c>
      <c r="Q873" s="19">
        <f t="shared" si="30"/>
        <v>0</v>
      </c>
    </row>
    <row r="874" spans="2:17" x14ac:dyDescent="0.2">
      <c r="B874" s="21"/>
      <c r="C874" s="22"/>
      <c r="D874" s="23"/>
      <c r="E874" s="24"/>
      <c r="F874" s="24"/>
      <c r="G874" s="24"/>
      <c r="H874" s="24"/>
      <c r="I874" s="24"/>
      <c r="J874" s="24"/>
      <c r="K874" s="24"/>
      <c r="L874" s="58">
        <f>IF(K874&gt;=0,K874,0)</f>
        <v>0</v>
      </c>
      <c r="M874" s="58">
        <f>IF(K874&lt;=0,K874,0)</f>
        <v>0</v>
      </c>
      <c r="N874" s="58">
        <f>L874+-M874</f>
        <v>0</v>
      </c>
      <c r="O874" s="19"/>
      <c r="P874" s="19">
        <f t="shared" si="31"/>
        <v>0</v>
      </c>
      <c r="Q874" s="19">
        <f t="shared" si="30"/>
        <v>0</v>
      </c>
    </row>
    <row r="875" spans="2:17" x14ac:dyDescent="0.2">
      <c r="B875" s="21"/>
      <c r="C875" s="22"/>
      <c r="D875" s="23"/>
      <c r="E875" s="24"/>
      <c r="F875" s="24"/>
      <c r="G875" s="24"/>
      <c r="H875" s="24"/>
      <c r="I875" s="24"/>
      <c r="J875" s="24"/>
      <c r="K875" s="24"/>
      <c r="L875" s="58">
        <f>IF(K875&gt;=0,K875,0)</f>
        <v>0</v>
      </c>
      <c r="M875" s="58">
        <f>IF(K875&lt;=0,K875,0)</f>
        <v>0</v>
      </c>
      <c r="N875" s="58">
        <f>L875+-M875</f>
        <v>0</v>
      </c>
      <c r="O875" s="19"/>
      <c r="P875" s="19">
        <f t="shared" si="31"/>
        <v>0</v>
      </c>
      <c r="Q875" s="19">
        <f t="shared" si="30"/>
        <v>0</v>
      </c>
    </row>
    <row r="876" spans="2:17" x14ac:dyDescent="0.2">
      <c r="B876" s="21"/>
      <c r="C876" s="22"/>
      <c r="D876" s="23"/>
      <c r="E876" s="24"/>
      <c r="F876" s="24"/>
      <c r="G876" s="24"/>
      <c r="H876" s="24"/>
      <c r="I876" s="24"/>
      <c r="J876" s="24"/>
      <c r="K876" s="24"/>
      <c r="L876" s="58">
        <f>IF(K876&gt;=0,K876,0)</f>
        <v>0</v>
      </c>
      <c r="M876" s="58">
        <f>IF(K876&lt;=0,K876,0)</f>
        <v>0</v>
      </c>
      <c r="N876" s="58">
        <f>L876+-M876</f>
        <v>0</v>
      </c>
      <c r="O876" s="19"/>
      <c r="P876" s="19">
        <f t="shared" si="31"/>
        <v>0</v>
      </c>
      <c r="Q876" s="19">
        <f t="shared" si="30"/>
        <v>0</v>
      </c>
    </row>
    <row r="877" spans="2:17" x14ac:dyDescent="0.2">
      <c r="B877" s="21"/>
      <c r="C877" s="22"/>
      <c r="D877" s="23"/>
      <c r="E877" s="24"/>
      <c r="F877" s="24"/>
      <c r="G877" s="24"/>
      <c r="H877" s="24"/>
      <c r="I877" s="24"/>
      <c r="J877" s="24"/>
      <c r="K877" s="24"/>
      <c r="L877" s="58">
        <f>IF(K877&gt;=0,K877,0)</f>
        <v>0</v>
      </c>
      <c r="M877" s="58">
        <f>IF(K877&lt;=0,K877,0)</f>
        <v>0</v>
      </c>
      <c r="N877" s="58">
        <f>L877+-M877</f>
        <v>0</v>
      </c>
      <c r="O877" s="19"/>
      <c r="P877" s="19">
        <f t="shared" si="31"/>
        <v>0</v>
      </c>
      <c r="Q877" s="19">
        <f t="shared" si="30"/>
        <v>0</v>
      </c>
    </row>
    <row r="878" spans="2:17" x14ac:dyDescent="0.2">
      <c r="B878" s="21"/>
      <c r="C878" s="22"/>
      <c r="D878" s="23"/>
      <c r="E878" s="24"/>
      <c r="F878" s="24"/>
      <c r="G878" s="24"/>
      <c r="H878" s="24"/>
      <c r="I878" s="24"/>
      <c r="J878" s="24"/>
      <c r="K878" s="24"/>
      <c r="L878" s="58">
        <f>IF(K878&gt;=0,K878,0)</f>
        <v>0</v>
      </c>
      <c r="M878" s="58">
        <f>IF(K878&lt;=0,K878,0)</f>
        <v>0</v>
      </c>
      <c r="N878" s="58">
        <f>L878+-M878</f>
        <v>0</v>
      </c>
      <c r="O878" s="19"/>
      <c r="P878" s="19">
        <f t="shared" si="31"/>
        <v>0</v>
      </c>
      <c r="Q878" s="19">
        <f t="shared" si="30"/>
        <v>0</v>
      </c>
    </row>
    <row r="879" spans="2:17" x14ac:dyDescent="0.2">
      <c r="B879" s="21"/>
      <c r="C879" s="22"/>
      <c r="D879" s="23"/>
      <c r="E879" s="24"/>
      <c r="F879" s="24"/>
      <c r="G879" s="24"/>
      <c r="H879" s="24"/>
      <c r="I879" s="24"/>
      <c r="J879" s="24"/>
      <c r="K879" s="24"/>
      <c r="L879" s="58">
        <f>IF(K879&gt;=0,K879,0)</f>
        <v>0</v>
      </c>
      <c r="M879" s="58">
        <f>IF(K879&lt;=0,K879,0)</f>
        <v>0</v>
      </c>
      <c r="N879" s="58">
        <f>L879+-M879</f>
        <v>0</v>
      </c>
      <c r="O879" s="19"/>
      <c r="P879" s="19">
        <f t="shared" si="31"/>
        <v>0</v>
      </c>
      <c r="Q879" s="19">
        <f t="shared" si="30"/>
        <v>0</v>
      </c>
    </row>
    <row r="880" spans="2:17" x14ac:dyDescent="0.2">
      <c r="B880" s="21"/>
      <c r="C880" s="22"/>
      <c r="D880" s="23"/>
      <c r="E880" s="24"/>
      <c r="F880" s="24"/>
      <c r="G880" s="24"/>
      <c r="H880" s="24"/>
      <c r="I880" s="24"/>
      <c r="J880" s="24"/>
      <c r="K880" s="24"/>
      <c r="L880" s="58">
        <f>IF(K880&gt;=0,K880,0)</f>
        <v>0</v>
      </c>
      <c r="M880" s="58">
        <f>IF(K880&lt;=0,K880,0)</f>
        <v>0</v>
      </c>
      <c r="N880" s="58">
        <f>L880+-M880</f>
        <v>0</v>
      </c>
      <c r="O880" s="19"/>
      <c r="P880" s="19">
        <f t="shared" si="31"/>
        <v>0</v>
      </c>
      <c r="Q880" s="19">
        <f t="shared" si="30"/>
        <v>0</v>
      </c>
    </row>
    <row r="881" spans="2:17" x14ac:dyDescent="0.2">
      <c r="B881" s="21"/>
      <c r="C881" s="22"/>
      <c r="D881" s="23"/>
      <c r="E881" s="24"/>
      <c r="F881" s="24"/>
      <c r="G881" s="24"/>
      <c r="H881" s="24"/>
      <c r="I881" s="24"/>
      <c r="J881" s="24"/>
      <c r="K881" s="24"/>
      <c r="L881" s="58">
        <f>IF(K881&gt;=0,K881,0)</f>
        <v>0</v>
      </c>
      <c r="M881" s="58">
        <f>IF(K881&lt;=0,K881,0)</f>
        <v>0</v>
      </c>
      <c r="N881" s="58">
        <f>L881+-M881</f>
        <v>0</v>
      </c>
      <c r="O881" s="19"/>
      <c r="P881" s="19">
        <f t="shared" si="31"/>
        <v>0</v>
      </c>
      <c r="Q881" s="19">
        <f t="shared" si="30"/>
        <v>0</v>
      </c>
    </row>
    <row r="882" spans="2:17" x14ac:dyDescent="0.2">
      <c r="B882" s="21"/>
      <c r="C882" s="22"/>
      <c r="D882" s="23"/>
      <c r="E882" s="24"/>
      <c r="F882" s="24"/>
      <c r="G882" s="24"/>
      <c r="H882" s="24"/>
      <c r="I882" s="24"/>
      <c r="J882" s="24"/>
      <c r="K882" s="24"/>
      <c r="L882" s="58">
        <f>IF(K882&gt;=0,K882,0)</f>
        <v>0</v>
      </c>
      <c r="M882" s="58">
        <f>IF(K882&lt;=0,K882,0)</f>
        <v>0</v>
      </c>
      <c r="N882" s="58">
        <f>L882+-M882</f>
        <v>0</v>
      </c>
      <c r="O882" s="19"/>
      <c r="P882" s="19">
        <f t="shared" si="31"/>
        <v>0</v>
      </c>
      <c r="Q882" s="19">
        <f t="shared" si="30"/>
        <v>0</v>
      </c>
    </row>
    <row r="883" spans="2:17" x14ac:dyDescent="0.2">
      <c r="B883" s="21"/>
      <c r="C883" s="22"/>
      <c r="D883" s="23"/>
      <c r="E883" s="24"/>
      <c r="F883" s="24"/>
      <c r="G883" s="24"/>
      <c r="H883" s="24"/>
      <c r="I883" s="24"/>
      <c r="J883" s="24"/>
      <c r="K883" s="24"/>
      <c r="L883" s="58">
        <f>IF(K883&gt;=0,K883,0)</f>
        <v>0</v>
      </c>
      <c r="M883" s="58">
        <f>IF(K883&lt;=0,K883,0)</f>
        <v>0</v>
      </c>
      <c r="N883" s="58">
        <f>L883+-M883</f>
        <v>0</v>
      </c>
      <c r="O883" s="19"/>
      <c r="P883" s="19">
        <f t="shared" si="31"/>
        <v>0</v>
      </c>
      <c r="Q883" s="19">
        <f t="shared" si="30"/>
        <v>0</v>
      </c>
    </row>
    <row r="884" spans="2:17" x14ac:dyDescent="0.2">
      <c r="B884" s="21"/>
      <c r="C884" s="22"/>
      <c r="D884" s="23"/>
      <c r="E884" s="24"/>
      <c r="F884" s="24"/>
      <c r="G884" s="24"/>
      <c r="H884" s="24"/>
      <c r="I884" s="24"/>
      <c r="J884" s="24"/>
      <c r="K884" s="24"/>
      <c r="L884" s="58">
        <f>IF(K884&gt;=0,K884,0)</f>
        <v>0</v>
      </c>
      <c r="M884" s="58">
        <f>IF(K884&lt;=0,K884,0)</f>
        <v>0</v>
      </c>
      <c r="N884" s="58">
        <f>L884+-M884</f>
        <v>0</v>
      </c>
      <c r="O884" s="19"/>
      <c r="P884" s="19">
        <f t="shared" si="31"/>
        <v>0</v>
      </c>
      <c r="Q884" s="19">
        <f t="shared" si="30"/>
        <v>0</v>
      </c>
    </row>
    <row r="885" spans="2:17" x14ac:dyDescent="0.2">
      <c r="B885" s="21"/>
      <c r="C885" s="22"/>
      <c r="D885" s="23"/>
      <c r="E885" s="24"/>
      <c r="F885" s="24"/>
      <c r="G885" s="24"/>
      <c r="H885" s="24"/>
      <c r="I885" s="24"/>
      <c r="J885" s="24"/>
      <c r="K885" s="24"/>
      <c r="L885" s="58">
        <f>IF(K885&gt;=0,K885,0)</f>
        <v>0</v>
      </c>
      <c r="M885" s="58">
        <f>IF(K885&lt;=0,K885,0)</f>
        <v>0</v>
      </c>
      <c r="N885" s="58">
        <f>L885+-M885</f>
        <v>0</v>
      </c>
      <c r="O885" s="19"/>
      <c r="P885" s="19">
        <f t="shared" si="31"/>
        <v>0</v>
      </c>
      <c r="Q885" s="19">
        <f t="shared" si="30"/>
        <v>0</v>
      </c>
    </row>
    <row r="886" spans="2:17" x14ac:dyDescent="0.2">
      <c r="B886" s="21"/>
      <c r="C886" s="22"/>
      <c r="D886" s="23"/>
      <c r="E886" s="24"/>
      <c r="F886" s="24"/>
      <c r="G886" s="24"/>
      <c r="H886" s="24"/>
      <c r="I886" s="24"/>
      <c r="J886" s="24"/>
      <c r="K886" s="24"/>
      <c r="L886" s="58">
        <f>IF(K886&gt;=0,K886,0)</f>
        <v>0</v>
      </c>
      <c r="M886" s="58">
        <f>IF(K886&lt;=0,K886,0)</f>
        <v>0</v>
      </c>
      <c r="N886" s="58">
        <f>L886+-M886</f>
        <v>0</v>
      </c>
      <c r="O886" s="19"/>
      <c r="P886" s="19">
        <f t="shared" si="31"/>
        <v>0</v>
      </c>
      <c r="Q886" s="19">
        <f t="shared" si="30"/>
        <v>0</v>
      </c>
    </row>
    <row r="887" spans="2:17" x14ac:dyDescent="0.2">
      <c r="B887" s="21"/>
      <c r="C887" s="22"/>
      <c r="D887" s="23"/>
      <c r="E887" s="24"/>
      <c r="F887" s="24"/>
      <c r="G887" s="24"/>
      <c r="H887" s="24"/>
      <c r="I887" s="24"/>
      <c r="J887" s="24"/>
      <c r="K887" s="24"/>
      <c r="L887" s="58">
        <f>IF(K887&gt;=0,K887,0)</f>
        <v>0</v>
      </c>
      <c r="M887" s="58">
        <f>IF(K887&lt;=0,K887,0)</f>
        <v>0</v>
      </c>
      <c r="N887" s="58">
        <f>L887+-M887</f>
        <v>0</v>
      </c>
      <c r="O887" s="19"/>
      <c r="P887" s="19">
        <f t="shared" si="31"/>
        <v>0</v>
      </c>
      <c r="Q887" s="19">
        <f t="shared" si="30"/>
        <v>0</v>
      </c>
    </row>
    <row r="888" spans="2:17" x14ac:dyDescent="0.2">
      <c r="B888" s="21"/>
      <c r="C888" s="22"/>
      <c r="D888" s="23"/>
      <c r="E888" s="24"/>
      <c r="F888" s="24"/>
      <c r="G888" s="24"/>
      <c r="H888" s="24"/>
      <c r="I888" s="24"/>
      <c r="J888" s="24"/>
      <c r="K888" s="24"/>
      <c r="L888" s="58">
        <f>IF(K888&gt;=0,K888,0)</f>
        <v>0</v>
      </c>
      <c r="M888" s="58">
        <f>IF(K888&lt;=0,K888,0)</f>
        <v>0</v>
      </c>
      <c r="N888" s="58">
        <f>L888+-M888</f>
        <v>0</v>
      </c>
      <c r="O888" s="19"/>
      <c r="P888" s="19">
        <f t="shared" si="31"/>
        <v>0</v>
      </c>
      <c r="Q888" s="19">
        <f t="shared" si="30"/>
        <v>0</v>
      </c>
    </row>
    <row r="889" spans="2:17" x14ac:dyDescent="0.2">
      <c r="B889" s="21"/>
      <c r="C889" s="22"/>
      <c r="D889" s="23"/>
      <c r="E889" s="24"/>
      <c r="F889" s="24"/>
      <c r="G889" s="24"/>
      <c r="H889" s="24"/>
      <c r="I889" s="24"/>
      <c r="J889" s="24"/>
      <c r="K889" s="24"/>
      <c r="L889" s="58">
        <f>IF(K889&gt;=0,K889,0)</f>
        <v>0</v>
      </c>
      <c r="M889" s="58">
        <f>IF(K889&lt;=0,K889,0)</f>
        <v>0</v>
      </c>
      <c r="N889" s="58">
        <f>L889+-M889</f>
        <v>0</v>
      </c>
      <c r="O889" s="19"/>
      <c r="P889" s="19">
        <f t="shared" si="31"/>
        <v>0</v>
      </c>
      <c r="Q889" s="19">
        <f t="shared" si="30"/>
        <v>0</v>
      </c>
    </row>
    <row r="890" spans="2:17" x14ac:dyDescent="0.2">
      <c r="B890" s="21"/>
      <c r="C890" s="22"/>
      <c r="D890" s="23"/>
      <c r="E890" s="24"/>
      <c r="F890" s="24"/>
      <c r="G890" s="24"/>
      <c r="H890" s="24"/>
      <c r="I890" s="24"/>
      <c r="J890" s="24"/>
      <c r="K890" s="24"/>
      <c r="L890" s="58">
        <f>IF(K890&gt;=0,K890,0)</f>
        <v>0</v>
      </c>
      <c r="M890" s="58">
        <f>IF(K890&lt;=0,K890,0)</f>
        <v>0</v>
      </c>
      <c r="N890" s="58">
        <f>L890+-M890</f>
        <v>0</v>
      </c>
      <c r="O890" s="19"/>
      <c r="P890" s="19">
        <f t="shared" si="31"/>
        <v>0</v>
      </c>
      <c r="Q890" s="19">
        <f t="shared" si="30"/>
        <v>0</v>
      </c>
    </row>
    <row r="891" spans="2:17" x14ac:dyDescent="0.2">
      <c r="B891" s="21"/>
      <c r="C891" s="22"/>
      <c r="D891" s="23"/>
      <c r="E891" s="24"/>
      <c r="F891" s="24"/>
      <c r="G891" s="24"/>
      <c r="H891" s="24"/>
      <c r="I891" s="24"/>
      <c r="J891" s="24"/>
      <c r="K891" s="24"/>
      <c r="L891" s="58">
        <f>IF(K891&gt;=0,K891,0)</f>
        <v>0</v>
      </c>
      <c r="M891" s="58">
        <f>IF(K891&lt;=0,K891,0)</f>
        <v>0</v>
      </c>
      <c r="N891" s="58">
        <f>L891+-M891</f>
        <v>0</v>
      </c>
      <c r="O891" s="19"/>
      <c r="P891" s="19">
        <f t="shared" si="31"/>
        <v>0</v>
      </c>
      <c r="Q891" s="19">
        <f t="shared" si="30"/>
        <v>0</v>
      </c>
    </row>
    <row r="892" spans="2:17" x14ac:dyDescent="0.2">
      <c r="B892" s="21"/>
      <c r="C892" s="22"/>
      <c r="D892" s="23"/>
      <c r="E892" s="24"/>
      <c r="F892" s="24"/>
      <c r="G892" s="24"/>
      <c r="H892" s="24"/>
      <c r="I892" s="24"/>
      <c r="J892" s="24"/>
      <c r="K892" s="24"/>
      <c r="L892" s="58">
        <f>IF(K892&gt;=0,K892,0)</f>
        <v>0</v>
      </c>
      <c r="M892" s="58">
        <f>IF(K892&lt;=0,K892,0)</f>
        <v>0</v>
      </c>
      <c r="N892" s="58">
        <f>L892+-M892</f>
        <v>0</v>
      </c>
      <c r="O892" s="19"/>
      <c r="P892" s="19">
        <f t="shared" si="31"/>
        <v>0</v>
      </c>
      <c r="Q892" s="19">
        <f t="shared" ref="Q892:Q955" si="32">P892+Q891</f>
        <v>0</v>
      </c>
    </row>
    <row r="893" spans="2:17" x14ac:dyDescent="0.2">
      <c r="B893" s="21"/>
      <c r="C893" s="22"/>
      <c r="D893" s="23"/>
      <c r="E893" s="24"/>
      <c r="F893" s="24"/>
      <c r="G893" s="24"/>
      <c r="H893" s="24"/>
      <c r="I893" s="24"/>
      <c r="J893" s="24"/>
      <c r="K893" s="24"/>
      <c r="L893" s="58">
        <f>IF(K893&gt;=0,K893,0)</f>
        <v>0</v>
      </c>
      <c r="M893" s="58">
        <f>IF(K893&lt;=0,K893,0)</f>
        <v>0</v>
      </c>
      <c r="N893" s="58">
        <f>L893+-M893</f>
        <v>0</v>
      </c>
      <c r="O893" s="19"/>
      <c r="P893" s="19">
        <f t="shared" si="31"/>
        <v>0</v>
      </c>
      <c r="Q893" s="19">
        <f t="shared" si="32"/>
        <v>0</v>
      </c>
    </row>
    <row r="894" spans="2:17" x14ac:dyDescent="0.2">
      <c r="B894" s="21"/>
      <c r="C894" s="22"/>
      <c r="D894" s="23"/>
      <c r="E894" s="24"/>
      <c r="F894" s="24"/>
      <c r="G894" s="24"/>
      <c r="H894" s="24"/>
      <c r="I894" s="24"/>
      <c r="J894" s="24"/>
      <c r="K894" s="24"/>
      <c r="L894" s="58">
        <f>IF(K894&gt;=0,K894,0)</f>
        <v>0</v>
      </c>
      <c r="M894" s="58">
        <f>IF(K894&lt;=0,K894,0)</f>
        <v>0</v>
      </c>
      <c r="N894" s="58">
        <f>L894+-M894</f>
        <v>0</v>
      </c>
      <c r="O894" s="19"/>
      <c r="P894" s="19">
        <f t="shared" si="31"/>
        <v>0</v>
      </c>
      <c r="Q894" s="19">
        <f t="shared" si="32"/>
        <v>0</v>
      </c>
    </row>
    <row r="895" spans="2:17" x14ac:dyDescent="0.2">
      <c r="B895" s="21"/>
      <c r="C895" s="22"/>
      <c r="D895" s="23"/>
      <c r="E895" s="24"/>
      <c r="F895" s="24"/>
      <c r="G895" s="24"/>
      <c r="H895" s="24"/>
      <c r="I895" s="24"/>
      <c r="J895" s="24"/>
      <c r="K895" s="24"/>
      <c r="L895" s="58">
        <f>IF(K895&gt;=0,K895,0)</f>
        <v>0</v>
      </c>
      <c r="M895" s="58">
        <f>IF(K895&lt;=0,K895,0)</f>
        <v>0</v>
      </c>
      <c r="N895" s="58">
        <f>L895+-M895</f>
        <v>0</v>
      </c>
      <c r="O895" s="19"/>
      <c r="P895" s="19">
        <f t="shared" si="31"/>
        <v>0</v>
      </c>
      <c r="Q895" s="19">
        <f t="shared" si="32"/>
        <v>0</v>
      </c>
    </row>
    <row r="896" spans="2:17" x14ac:dyDescent="0.2">
      <c r="B896" s="21"/>
      <c r="C896" s="22"/>
      <c r="D896" s="23"/>
      <c r="E896" s="24"/>
      <c r="F896" s="24"/>
      <c r="G896" s="24"/>
      <c r="H896" s="24"/>
      <c r="I896" s="24"/>
      <c r="J896" s="24"/>
      <c r="K896" s="24"/>
      <c r="L896" s="58">
        <f>IF(K896&gt;=0,K896,0)</f>
        <v>0</v>
      </c>
      <c r="M896" s="58">
        <f>IF(K896&lt;=0,K896,0)</f>
        <v>0</v>
      </c>
      <c r="N896" s="58">
        <f>L896+-M896</f>
        <v>0</v>
      </c>
      <c r="O896" s="19"/>
      <c r="P896" s="19">
        <f t="shared" si="31"/>
        <v>0</v>
      </c>
      <c r="Q896" s="19">
        <f t="shared" si="32"/>
        <v>0</v>
      </c>
    </row>
    <row r="897" spans="2:17" x14ac:dyDescent="0.2">
      <c r="B897" s="21"/>
      <c r="C897" s="22"/>
      <c r="D897" s="23"/>
      <c r="E897" s="24"/>
      <c r="F897" s="24"/>
      <c r="G897" s="24"/>
      <c r="H897" s="24"/>
      <c r="I897" s="24"/>
      <c r="J897" s="24"/>
      <c r="K897" s="24"/>
      <c r="L897" s="58">
        <f>IF(K897&gt;=0,K897,0)</f>
        <v>0</v>
      </c>
      <c r="M897" s="58">
        <f>IF(K897&lt;=0,K897,0)</f>
        <v>0</v>
      </c>
      <c r="N897" s="58">
        <f>L897+-M897</f>
        <v>0</v>
      </c>
      <c r="O897" s="19"/>
      <c r="P897" s="19">
        <f t="shared" si="31"/>
        <v>0</v>
      </c>
      <c r="Q897" s="19">
        <f t="shared" si="32"/>
        <v>0</v>
      </c>
    </row>
    <row r="898" spans="2:17" x14ac:dyDescent="0.2">
      <c r="B898" s="21"/>
      <c r="C898" s="22"/>
      <c r="D898" s="23"/>
      <c r="E898" s="24"/>
      <c r="F898" s="24"/>
      <c r="G898" s="24"/>
      <c r="H898" s="24"/>
      <c r="I898" s="24"/>
      <c r="J898" s="24"/>
      <c r="K898" s="24"/>
      <c r="L898" s="58">
        <f>IF(K898&gt;=0,K898,0)</f>
        <v>0</v>
      </c>
      <c r="M898" s="58">
        <f>IF(K898&lt;=0,K898,0)</f>
        <v>0</v>
      </c>
      <c r="N898" s="58">
        <f>L898+-M898</f>
        <v>0</v>
      </c>
      <c r="O898" s="19"/>
      <c r="P898" s="19">
        <f t="shared" si="31"/>
        <v>0</v>
      </c>
      <c r="Q898" s="19">
        <f t="shared" si="32"/>
        <v>0</v>
      </c>
    </row>
    <row r="899" spans="2:17" x14ac:dyDescent="0.2">
      <c r="B899" s="21"/>
      <c r="C899" s="22"/>
      <c r="D899" s="23"/>
      <c r="E899" s="24"/>
      <c r="F899" s="24"/>
      <c r="G899" s="24"/>
      <c r="H899" s="24"/>
      <c r="I899" s="24"/>
      <c r="J899" s="24"/>
      <c r="K899" s="24"/>
      <c r="L899" s="58">
        <f>IF(K899&gt;=0,K899,0)</f>
        <v>0</v>
      </c>
      <c r="M899" s="58">
        <f>IF(K899&lt;=0,K899,0)</f>
        <v>0</v>
      </c>
      <c r="N899" s="58">
        <f>L899+-M899</f>
        <v>0</v>
      </c>
      <c r="O899" s="19"/>
      <c r="P899" s="19">
        <f t="shared" si="31"/>
        <v>0</v>
      </c>
      <c r="Q899" s="19">
        <f t="shared" si="32"/>
        <v>0</v>
      </c>
    </row>
    <row r="900" spans="2:17" x14ac:dyDescent="0.2">
      <c r="B900" s="21"/>
      <c r="C900" s="22"/>
      <c r="D900" s="23"/>
      <c r="E900" s="24"/>
      <c r="F900" s="24"/>
      <c r="G900" s="24"/>
      <c r="H900" s="24"/>
      <c r="I900" s="24"/>
      <c r="J900" s="24"/>
      <c r="K900" s="24"/>
      <c r="L900" s="58">
        <f>IF(K900&gt;=0,K900,0)</f>
        <v>0</v>
      </c>
      <c r="M900" s="58">
        <f>IF(K900&lt;=0,K900,0)</f>
        <v>0</v>
      </c>
      <c r="N900" s="58">
        <f>L900+-M900</f>
        <v>0</v>
      </c>
      <c r="O900" s="19"/>
      <c r="P900" s="19">
        <f t="shared" si="31"/>
        <v>0</v>
      </c>
      <c r="Q900" s="19">
        <f t="shared" si="32"/>
        <v>0</v>
      </c>
    </row>
    <row r="901" spans="2:17" x14ac:dyDescent="0.2">
      <c r="B901" s="21"/>
      <c r="C901" s="22"/>
      <c r="D901" s="23"/>
      <c r="E901" s="24"/>
      <c r="F901" s="24"/>
      <c r="G901" s="24"/>
      <c r="H901" s="24"/>
      <c r="I901" s="24"/>
      <c r="J901" s="24"/>
      <c r="K901" s="24"/>
      <c r="L901" s="58">
        <f>IF(K901&gt;=0,K901,0)</f>
        <v>0</v>
      </c>
      <c r="M901" s="58">
        <f>IF(K901&lt;=0,K901,0)</f>
        <v>0</v>
      </c>
      <c r="N901" s="58">
        <f>L901+-M901</f>
        <v>0</v>
      </c>
      <c r="O901" s="19"/>
      <c r="P901" s="19">
        <f t="shared" si="31"/>
        <v>0</v>
      </c>
      <c r="Q901" s="19">
        <f t="shared" si="32"/>
        <v>0</v>
      </c>
    </row>
    <row r="902" spans="2:17" x14ac:dyDescent="0.2">
      <c r="B902" s="21"/>
      <c r="C902" s="22"/>
      <c r="D902" s="23"/>
      <c r="E902" s="24"/>
      <c r="F902" s="24"/>
      <c r="G902" s="24"/>
      <c r="H902" s="24"/>
      <c r="I902" s="24"/>
      <c r="J902" s="24"/>
      <c r="K902" s="24"/>
      <c r="L902" s="58">
        <f>IF(K902&gt;=0,K902,0)</f>
        <v>0</v>
      </c>
      <c r="M902" s="58">
        <f>IF(K902&lt;=0,K902,0)</f>
        <v>0</v>
      </c>
      <c r="N902" s="58">
        <f>L902+-M902</f>
        <v>0</v>
      </c>
      <c r="O902" s="19"/>
      <c r="P902" s="19">
        <f t="shared" si="31"/>
        <v>0</v>
      </c>
      <c r="Q902" s="19">
        <f t="shared" si="32"/>
        <v>0</v>
      </c>
    </row>
    <row r="903" spans="2:17" x14ac:dyDescent="0.2">
      <c r="B903" s="21"/>
      <c r="C903" s="22"/>
      <c r="D903" s="23"/>
      <c r="E903" s="24"/>
      <c r="F903" s="24"/>
      <c r="G903" s="24"/>
      <c r="H903" s="24"/>
      <c r="I903" s="24"/>
      <c r="J903" s="24"/>
      <c r="K903" s="24"/>
      <c r="L903" s="58">
        <f>IF(K903&gt;=0,K903,0)</f>
        <v>0</v>
      </c>
      <c r="M903" s="58">
        <f>IF(K903&lt;=0,K903,0)</f>
        <v>0</v>
      </c>
      <c r="N903" s="58">
        <f>L903+-M903</f>
        <v>0</v>
      </c>
      <c r="O903" s="19"/>
      <c r="P903" s="19">
        <f t="shared" ref="P903:P966" si="33">N903/$N$1055</f>
        <v>0</v>
      </c>
      <c r="Q903" s="19">
        <f t="shared" si="32"/>
        <v>0</v>
      </c>
    </row>
    <row r="904" spans="2:17" x14ac:dyDescent="0.2">
      <c r="B904" s="21"/>
      <c r="C904" s="22"/>
      <c r="D904" s="23"/>
      <c r="E904" s="24"/>
      <c r="F904" s="24"/>
      <c r="G904" s="24"/>
      <c r="H904" s="24"/>
      <c r="I904" s="24"/>
      <c r="J904" s="24"/>
      <c r="K904" s="24"/>
      <c r="L904" s="58">
        <f>IF(K904&gt;=0,K904,0)</f>
        <v>0</v>
      </c>
      <c r="M904" s="58">
        <f>IF(K904&lt;=0,K904,0)</f>
        <v>0</v>
      </c>
      <c r="N904" s="58">
        <f>L904+-M904</f>
        <v>0</v>
      </c>
      <c r="O904" s="19"/>
      <c r="P904" s="19">
        <f t="shared" si="33"/>
        <v>0</v>
      </c>
      <c r="Q904" s="19">
        <f t="shared" si="32"/>
        <v>0</v>
      </c>
    </row>
    <row r="905" spans="2:17" x14ac:dyDescent="0.2">
      <c r="B905" s="21"/>
      <c r="C905" s="22"/>
      <c r="D905" s="23"/>
      <c r="E905" s="24"/>
      <c r="F905" s="24"/>
      <c r="G905" s="24"/>
      <c r="H905" s="24"/>
      <c r="I905" s="24"/>
      <c r="J905" s="24"/>
      <c r="K905" s="24"/>
      <c r="L905" s="58">
        <f>IF(K905&gt;=0,K905,0)</f>
        <v>0</v>
      </c>
      <c r="M905" s="58">
        <f>IF(K905&lt;=0,K905,0)</f>
        <v>0</v>
      </c>
      <c r="N905" s="58">
        <f>L905+-M905</f>
        <v>0</v>
      </c>
      <c r="O905" s="19"/>
      <c r="P905" s="19">
        <f t="shared" si="33"/>
        <v>0</v>
      </c>
      <c r="Q905" s="19">
        <f t="shared" si="32"/>
        <v>0</v>
      </c>
    </row>
    <row r="906" spans="2:17" x14ac:dyDescent="0.2">
      <c r="B906" s="21"/>
      <c r="C906" s="22"/>
      <c r="D906" s="23"/>
      <c r="E906" s="24"/>
      <c r="F906" s="24"/>
      <c r="G906" s="24"/>
      <c r="H906" s="24"/>
      <c r="I906" s="24"/>
      <c r="J906" s="24"/>
      <c r="K906" s="24"/>
      <c r="L906" s="58">
        <f>IF(K906&gt;=0,K906,0)</f>
        <v>0</v>
      </c>
      <c r="M906" s="58">
        <f>IF(K906&lt;=0,K906,0)</f>
        <v>0</v>
      </c>
      <c r="N906" s="58">
        <f>L906+-M906</f>
        <v>0</v>
      </c>
      <c r="O906" s="19"/>
      <c r="P906" s="19">
        <f t="shared" si="33"/>
        <v>0</v>
      </c>
      <c r="Q906" s="19">
        <f t="shared" si="32"/>
        <v>0</v>
      </c>
    </row>
    <row r="907" spans="2:17" x14ac:dyDescent="0.2">
      <c r="B907" s="21"/>
      <c r="C907" s="22"/>
      <c r="D907" s="23"/>
      <c r="E907" s="24"/>
      <c r="F907" s="24"/>
      <c r="G907" s="24"/>
      <c r="H907" s="24"/>
      <c r="I907" s="24"/>
      <c r="J907" s="24"/>
      <c r="K907" s="24"/>
      <c r="L907" s="58">
        <f>IF(K907&gt;=0,K907,0)</f>
        <v>0</v>
      </c>
      <c r="M907" s="58">
        <f>IF(K907&lt;=0,K907,0)</f>
        <v>0</v>
      </c>
      <c r="N907" s="58">
        <f>L907+-M907</f>
        <v>0</v>
      </c>
      <c r="O907" s="19"/>
      <c r="P907" s="19">
        <f t="shared" si="33"/>
        <v>0</v>
      </c>
      <c r="Q907" s="19">
        <f t="shared" si="32"/>
        <v>0</v>
      </c>
    </row>
    <row r="908" spans="2:17" x14ac:dyDescent="0.2">
      <c r="B908" s="21"/>
      <c r="C908" s="22"/>
      <c r="D908" s="23"/>
      <c r="E908" s="24"/>
      <c r="F908" s="24"/>
      <c r="G908" s="24"/>
      <c r="H908" s="24"/>
      <c r="I908" s="24"/>
      <c r="J908" s="24"/>
      <c r="K908" s="24"/>
      <c r="L908" s="58">
        <f>IF(K908&gt;=0,K908,0)</f>
        <v>0</v>
      </c>
      <c r="M908" s="58">
        <f>IF(K908&lt;=0,K908,0)</f>
        <v>0</v>
      </c>
      <c r="N908" s="58">
        <f>L908+-M908</f>
        <v>0</v>
      </c>
      <c r="O908" s="19"/>
      <c r="P908" s="19">
        <f t="shared" si="33"/>
        <v>0</v>
      </c>
      <c r="Q908" s="19">
        <f t="shared" si="32"/>
        <v>0</v>
      </c>
    </row>
    <row r="909" spans="2:17" x14ac:dyDescent="0.2">
      <c r="B909" s="21"/>
      <c r="C909" s="22"/>
      <c r="D909" s="23"/>
      <c r="E909" s="24"/>
      <c r="F909" s="24"/>
      <c r="G909" s="24"/>
      <c r="H909" s="24"/>
      <c r="I909" s="24"/>
      <c r="J909" s="24"/>
      <c r="K909" s="24"/>
      <c r="L909" s="58">
        <f>IF(K909&gt;=0,K909,0)</f>
        <v>0</v>
      </c>
      <c r="M909" s="58">
        <f>IF(K909&lt;=0,K909,0)</f>
        <v>0</v>
      </c>
      <c r="N909" s="58">
        <f>L909+-M909</f>
        <v>0</v>
      </c>
      <c r="O909" s="19"/>
      <c r="P909" s="19">
        <f t="shared" si="33"/>
        <v>0</v>
      </c>
      <c r="Q909" s="19">
        <f t="shared" si="32"/>
        <v>0</v>
      </c>
    </row>
    <row r="910" spans="2:17" x14ac:dyDescent="0.2">
      <c r="B910" s="21"/>
      <c r="C910" s="22"/>
      <c r="D910" s="23"/>
      <c r="E910" s="24"/>
      <c r="F910" s="24"/>
      <c r="G910" s="24"/>
      <c r="H910" s="24"/>
      <c r="I910" s="24"/>
      <c r="J910" s="24"/>
      <c r="K910" s="24"/>
      <c r="L910" s="58">
        <f>IF(K910&gt;=0,K910,0)</f>
        <v>0</v>
      </c>
      <c r="M910" s="58">
        <f>IF(K910&lt;=0,K910,0)</f>
        <v>0</v>
      </c>
      <c r="N910" s="58">
        <f>L910+-M910</f>
        <v>0</v>
      </c>
      <c r="O910" s="19"/>
      <c r="P910" s="19">
        <f t="shared" si="33"/>
        <v>0</v>
      </c>
      <c r="Q910" s="19">
        <f t="shared" si="32"/>
        <v>0</v>
      </c>
    </row>
    <row r="911" spans="2:17" x14ac:dyDescent="0.2">
      <c r="B911" s="21"/>
      <c r="C911" s="22"/>
      <c r="D911" s="23"/>
      <c r="E911" s="24"/>
      <c r="F911" s="24"/>
      <c r="G911" s="24"/>
      <c r="H911" s="24"/>
      <c r="I911" s="24"/>
      <c r="J911" s="24"/>
      <c r="K911" s="24"/>
      <c r="L911" s="58">
        <f>IF(K911&gt;=0,K911,0)</f>
        <v>0</v>
      </c>
      <c r="M911" s="58">
        <f>IF(K911&lt;=0,K911,0)</f>
        <v>0</v>
      </c>
      <c r="N911" s="58">
        <f>L911+-M911</f>
        <v>0</v>
      </c>
      <c r="O911" s="19"/>
      <c r="P911" s="19">
        <f t="shared" si="33"/>
        <v>0</v>
      </c>
      <c r="Q911" s="19">
        <f t="shared" si="32"/>
        <v>0</v>
      </c>
    </row>
    <row r="912" spans="2:17" x14ac:dyDescent="0.2">
      <c r="B912" s="21"/>
      <c r="C912" s="22"/>
      <c r="D912" s="23"/>
      <c r="E912" s="24"/>
      <c r="F912" s="24"/>
      <c r="G912" s="24"/>
      <c r="H912" s="24"/>
      <c r="I912" s="24"/>
      <c r="J912" s="24"/>
      <c r="K912" s="24"/>
      <c r="L912" s="58">
        <f>IF(K912&gt;=0,K912,0)</f>
        <v>0</v>
      </c>
      <c r="M912" s="58">
        <f>IF(K912&lt;=0,K912,0)</f>
        <v>0</v>
      </c>
      <c r="N912" s="58">
        <f>L912+-M912</f>
        <v>0</v>
      </c>
      <c r="O912" s="19"/>
      <c r="P912" s="19">
        <f t="shared" si="33"/>
        <v>0</v>
      </c>
      <c r="Q912" s="19">
        <f t="shared" si="32"/>
        <v>0</v>
      </c>
    </row>
    <row r="913" spans="2:17" x14ac:dyDescent="0.2">
      <c r="B913" s="21"/>
      <c r="C913" s="22"/>
      <c r="D913" s="23"/>
      <c r="E913" s="24"/>
      <c r="F913" s="24"/>
      <c r="G913" s="24"/>
      <c r="H913" s="24"/>
      <c r="I913" s="24"/>
      <c r="J913" s="24"/>
      <c r="K913" s="24"/>
      <c r="L913" s="58">
        <f>IF(K913&gt;=0,K913,0)</f>
        <v>0</v>
      </c>
      <c r="M913" s="58">
        <f>IF(K913&lt;=0,K913,0)</f>
        <v>0</v>
      </c>
      <c r="N913" s="58">
        <f>L913+-M913</f>
        <v>0</v>
      </c>
      <c r="O913" s="19"/>
      <c r="P913" s="19">
        <f t="shared" si="33"/>
        <v>0</v>
      </c>
      <c r="Q913" s="19">
        <f t="shared" si="32"/>
        <v>0</v>
      </c>
    </row>
    <row r="914" spans="2:17" x14ac:dyDescent="0.2">
      <c r="B914" s="21"/>
      <c r="C914" s="22"/>
      <c r="D914" s="23"/>
      <c r="E914" s="24"/>
      <c r="F914" s="24"/>
      <c r="G914" s="24"/>
      <c r="H914" s="24"/>
      <c r="I914" s="24"/>
      <c r="J914" s="24"/>
      <c r="K914" s="24"/>
      <c r="L914" s="58">
        <f>IF(K914&gt;=0,K914,0)</f>
        <v>0</v>
      </c>
      <c r="M914" s="58">
        <f>IF(K914&lt;=0,K914,0)</f>
        <v>0</v>
      </c>
      <c r="N914" s="58">
        <f>L914+-M914</f>
        <v>0</v>
      </c>
      <c r="O914" s="19"/>
      <c r="P914" s="19">
        <f t="shared" si="33"/>
        <v>0</v>
      </c>
      <c r="Q914" s="19">
        <f t="shared" si="32"/>
        <v>0</v>
      </c>
    </row>
    <row r="915" spans="2:17" x14ac:dyDescent="0.2">
      <c r="B915" s="21"/>
      <c r="C915" s="22"/>
      <c r="D915" s="23"/>
      <c r="E915" s="24"/>
      <c r="F915" s="24"/>
      <c r="G915" s="24"/>
      <c r="H915" s="24"/>
      <c r="I915" s="24"/>
      <c r="J915" s="24"/>
      <c r="K915" s="24"/>
      <c r="L915" s="58">
        <f>IF(K915&gt;=0,K915,0)</f>
        <v>0</v>
      </c>
      <c r="M915" s="58">
        <f>IF(K915&lt;=0,K915,0)</f>
        <v>0</v>
      </c>
      <c r="N915" s="58">
        <f>L915+-M915</f>
        <v>0</v>
      </c>
      <c r="O915" s="19"/>
      <c r="P915" s="19">
        <f t="shared" si="33"/>
        <v>0</v>
      </c>
      <c r="Q915" s="19">
        <f t="shared" si="32"/>
        <v>0</v>
      </c>
    </row>
    <row r="916" spans="2:17" x14ac:dyDescent="0.2">
      <c r="B916" s="21"/>
      <c r="C916" s="22"/>
      <c r="D916" s="23"/>
      <c r="E916" s="24"/>
      <c r="F916" s="24"/>
      <c r="G916" s="24"/>
      <c r="H916" s="24"/>
      <c r="I916" s="24"/>
      <c r="J916" s="24"/>
      <c r="K916" s="24"/>
      <c r="L916" s="58">
        <f>IF(K916&gt;=0,K916,0)</f>
        <v>0</v>
      </c>
      <c r="M916" s="58">
        <f>IF(K916&lt;=0,K916,0)</f>
        <v>0</v>
      </c>
      <c r="N916" s="58">
        <f>L916+-M916</f>
        <v>0</v>
      </c>
      <c r="O916" s="19"/>
      <c r="P916" s="19">
        <f t="shared" si="33"/>
        <v>0</v>
      </c>
      <c r="Q916" s="19">
        <f t="shared" si="32"/>
        <v>0</v>
      </c>
    </row>
    <row r="917" spans="2:17" x14ac:dyDescent="0.2">
      <c r="B917" s="21"/>
      <c r="C917" s="22"/>
      <c r="D917" s="23"/>
      <c r="E917" s="24"/>
      <c r="F917" s="24"/>
      <c r="G917" s="24"/>
      <c r="H917" s="24"/>
      <c r="I917" s="24"/>
      <c r="J917" s="24"/>
      <c r="K917" s="24"/>
      <c r="L917" s="58">
        <f>IF(K917&gt;=0,K917,0)</f>
        <v>0</v>
      </c>
      <c r="M917" s="58">
        <f>IF(K917&lt;=0,K917,0)</f>
        <v>0</v>
      </c>
      <c r="N917" s="58">
        <f>L917+-M917</f>
        <v>0</v>
      </c>
      <c r="O917" s="19"/>
      <c r="P917" s="19">
        <f t="shared" si="33"/>
        <v>0</v>
      </c>
      <c r="Q917" s="19">
        <f t="shared" si="32"/>
        <v>0</v>
      </c>
    </row>
    <row r="918" spans="2:17" x14ac:dyDescent="0.2">
      <c r="B918" s="21"/>
      <c r="C918" s="22"/>
      <c r="D918" s="23"/>
      <c r="E918" s="24"/>
      <c r="F918" s="24"/>
      <c r="G918" s="24"/>
      <c r="H918" s="24"/>
      <c r="I918" s="24"/>
      <c r="J918" s="24"/>
      <c r="K918" s="24"/>
      <c r="L918" s="58">
        <f>IF(K918&gt;=0,K918,0)</f>
        <v>0</v>
      </c>
      <c r="M918" s="58">
        <f>IF(K918&lt;=0,K918,0)</f>
        <v>0</v>
      </c>
      <c r="N918" s="58">
        <f>L918+-M918</f>
        <v>0</v>
      </c>
      <c r="O918" s="19"/>
      <c r="P918" s="19">
        <f t="shared" si="33"/>
        <v>0</v>
      </c>
      <c r="Q918" s="19">
        <f t="shared" si="32"/>
        <v>0</v>
      </c>
    </row>
    <row r="919" spans="2:17" x14ac:dyDescent="0.2">
      <c r="B919" s="21"/>
      <c r="C919" s="22"/>
      <c r="D919" s="23"/>
      <c r="E919" s="24"/>
      <c r="F919" s="24"/>
      <c r="G919" s="24"/>
      <c r="H919" s="24"/>
      <c r="I919" s="24"/>
      <c r="J919" s="24"/>
      <c r="K919" s="24"/>
      <c r="L919" s="58">
        <f>IF(K919&gt;=0,K919,0)</f>
        <v>0</v>
      </c>
      <c r="M919" s="58">
        <f>IF(K919&lt;=0,K919,0)</f>
        <v>0</v>
      </c>
      <c r="N919" s="58">
        <f>L919+-M919</f>
        <v>0</v>
      </c>
      <c r="O919" s="19"/>
      <c r="P919" s="19">
        <f t="shared" si="33"/>
        <v>0</v>
      </c>
      <c r="Q919" s="19">
        <f t="shared" si="32"/>
        <v>0</v>
      </c>
    </row>
    <row r="920" spans="2:17" x14ac:dyDescent="0.2">
      <c r="B920" s="21"/>
      <c r="C920" s="22"/>
      <c r="D920" s="23"/>
      <c r="E920" s="24"/>
      <c r="F920" s="24"/>
      <c r="G920" s="24"/>
      <c r="H920" s="24"/>
      <c r="I920" s="24"/>
      <c r="J920" s="24"/>
      <c r="K920" s="24"/>
      <c r="L920" s="58">
        <f>IF(K920&gt;=0,K920,0)</f>
        <v>0</v>
      </c>
      <c r="M920" s="58">
        <f>IF(K920&lt;=0,K920,0)</f>
        <v>0</v>
      </c>
      <c r="N920" s="58">
        <f>L920+-M920</f>
        <v>0</v>
      </c>
      <c r="O920" s="19"/>
      <c r="P920" s="19">
        <f t="shared" si="33"/>
        <v>0</v>
      </c>
      <c r="Q920" s="19">
        <f t="shared" si="32"/>
        <v>0</v>
      </c>
    </row>
    <row r="921" spans="2:17" x14ac:dyDescent="0.2">
      <c r="B921" s="21"/>
      <c r="C921" s="22"/>
      <c r="D921" s="23"/>
      <c r="E921" s="24"/>
      <c r="F921" s="24"/>
      <c r="G921" s="24"/>
      <c r="H921" s="24"/>
      <c r="I921" s="24"/>
      <c r="J921" s="24"/>
      <c r="K921" s="24"/>
      <c r="L921" s="58">
        <f>IF(K921&gt;=0,K921,0)</f>
        <v>0</v>
      </c>
      <c r="M921" s="58">
        <f>IF(K921&lt;=0,K921,0)</f>
        <v>0</v>
      </c>
      <c r="N921" s="58">
        <f>L921+-M921</f>
        <v>0</v>
      </c>
      <c r="O921" s="19"/>
      <c r="P921" s="19">
        <f t="shared" si="33"/>
        <v>0</v>
      </c>
      <c r="Q921" s="19">
        <f t="shared" si="32"/>
        <v>0</v>
      </c>
    </row>
    <row r="922" spans="2:17" x14ac:dyDescent="0.2">
      <c r="B922" s="21"/>
      <c r="C922" s="22"/>
      <c r="D922" s="23"/>
      <c r="E922" s="24"/>
      <c r="F922" s="24"/>
      <c r="G922" s="24"/>
      <c r="H922" s="24"/>
      <c r="I922" s="24"/>
      <c r="J922" s="24"/>
      <c r="K922" s="24"/>
      <c r="L922" s="58">
        <f>IF(K922&gt;=0,K922,0)</f>
        <v>0</v>
      </c>
      <c r="M922" s="58">
        <f>IF(K922&lt;=0,K922,0)</f>
        <v>0</v>
      </c>
      <c r="N922" s="58">
        <f>L922+-M922</f>
        <v>0</v>
      </c>
      <c r="O922" s="19"/>
      <c r="P922" s="19">
        <f t="shared" si="33"/>
        <v>0</v>
      </c>
      <c r="Q922" s="19">
        <f t="shared" si="32"/>
        <v>0</v>
      </c>
    </row>
    <row r="923" spans="2:17" x14ac:dyDescent="0.2">
      <c r="B923" s="21"/>
      <c r="C923" s="22"/>
      <c r="D923" s="23"/>
      <c r="E923" s="24"/>
      <c r="F923" s="24"/>
      <c r="G923" s="24"/>
      <c r="H923" s="24"/>
      <c r="I923" s="24"/>
      <c r="J923" s="24"/>
      <c r="K923" s="24"/>
      <c r="L923" s="58">
        <f>IF(K923&gt;=0,K923,0)</f>
        <v>0</v>
      </c>
      <c r="M923" s="58">
        <f>IF(K923&lt;=0,K923,0)</f>
        <v>0</v>
      </c>
      <c r="N923" s="58">
        <f>L923+-M923</f>
        <v>0</v>
      </c>
      <c r="O923" s="19"/>
      <c r="P923" s="19">
        <f t="shared" si="33"/>
        <v>0</v>
      </c>
      <c r="Q923" s="19">
        <f t="shared" si="32"/>
        <v>0</v>
      </c>
    </row>
    <row r="924" spans="2:17" x14ac:dyDescent="0.2">
      <c r="B924" s="21"/>
      <c r="C924" s="22"/>
      <c r="D924" s="23"/>
      <c r="E924" s="24"/>
      <c r="F924" s="24"/>
      <c r="G924" s="24"/>
      <c r="H924" s="24"/>
      <c r="I924" s="24"/>
      <c r="J924" s="24"/>
      <c r="K924" s="24"/>
      <c r="L924" s="58">
        <f>IF(K924&gt;=0,K924,0)</f>
        <v>0</v>
      </c>
      <c r="M924" s="58">
        <f>IF(K924&lt;=0,K924,0)</f>
        <v>0</v>
      </c>
      <c r="N924" s="58">
        <f>L924+-M924</f>
        <v>0</v>
      </c>
      <c r="O924" s="19"/>
      <c r="P924" s="19">
        <f t="shared" si="33"/>
        <v>0</v>
      </c>
      <c r="Q924" s="19">
        <f t="shared" si="32"/>
        <v>0</v>
      </c>
    </row>
    <row r="925" spans="2:17" x14ac:dyDescent="0.2">
      <c r="B925" s="21"/>
      <c r="C925" s="22"/>
      <c r="D925" s="23"/>
      <c r="E925" s="24"/>
      <c r="F925" s="24"/>
      <c r="G925" s="24"/>
      <c r="H925" s="24"/>
      <c r="I925" s="24"/>
      <c r="J925" s="24"/>
      <c r="K925" s="24"/>
      <c r="L925" s="58">
        <f>IF(K925&gt;=0,K925,0)</f>
        <v>0</v>
      </c>
      <c r="M925" s="58">
        <f>IF(K925&lt;=0,K925,0)</f>
        <v>0</v>
      </c>
      <c r="N925" s="58">
        <f>L925+-M925</f>
        <v>0</v>
      </c>
      <c r="O925" s="19"/>
      <c r="P925" s="19">
        <f t="shared" si="33"/>
        <v>0</v>
      </c>
      <c r="Q925" s="19">
        <f t="shared" si="32"/>
        <v>0</v>
      </c>
    </row>
    <row r="926" spans="2:17" x14ac:dyDescent="0.2">
      <c r="B926" s="21"/>
      <c r="C926" s="22"/>
      <c r="D926" s="23"/>
      <c r="E926" s="24"/>
      <c r="F926" s="24"/>
      <c r="G926" s="24"/>
      <c r="H926" s="24"/>
      <c r="I926" s="24"/>
      <c r="J926" s="24"/>
      <c r="K926" s="24"/>
      <c r="L926" s="58">
        <f>IF(K926&gt;=0,K926,0)</f>
        <v>0</v>
      </c>
      <c r="M926" s="58">
        <f>IF(K926&lt;=0,K926,0)</f>
        <v>0</v>
      </c>
      <c r="N926" s="58">
        <f>L926+-M926</f>
        <v>0</v>
      </c>
      <c r="O926" s="19"/>
      <c r="P926" s="19">
        <f t="shared" si="33"/>
        <v>0</v>
      </c>
      <c r="Q926" s="19">
        <f t="shared" si="32"/>
        <v>0</v>
      </c>
    </row>
    <row r="927" spans="2:17" x14ac:dyDescent="0.2">
      <c r="B927" s="21"/>
      <c r="C927" s="22"/>
      <c r="D927" s="23"/>
      <c r="E927" s="24"/>
      <c r="F927" s="24"/>
      <c r="G927" s="24"/>
      <c r="H927" s="24"/>
      <c r="I927" s="24"/>
      <c r="J927" s="24"/>
      <c r="K927" s="24"/>
      <c r="L927" s="58">
        <f>IF(K927&gt;=0,K927,0)</f>
        <v>0</v>
      </c>
      <c r="M927" s="58">
        <f>IF(K927&lt;=0,K927,0)</f>
        <v>0</v>
      </c>
      <c r="N927" s="58">
        <f>L927+-M927</f>
        <v>0</v>
      </c>
      <c r="O927" s="19"/>
      <c r="P927" s="19">
        <f t="shared" si="33"/>
        <v>0</v>
      </c>
      <c r="Q927" s="19">
        <f t="shared" si="32"/>
        <v>0</v>
      </c>
    </row>
    <row r="928" spans="2:17" x14ac:dyDescent="0.2">
      <c r="B928" s="21"/>
      <c r="C928" s="22"/>
      <c r="D928" s="23"/>
      <c r="E928" s="24"/>
      <c r="F928" s="24"/>
      <c r="G928" s="24"/>
      <c r="H928" s="24"/>
      <c r="I928" s="24"/>
      <c r="J928" s="24"/>
      <c r="K928" s="24"/>
      <c r="L928" s="58">
        <f>IF(K928&gt;=0,K928,0)</f>
        <v>0</v>
      </c>
      <c r="M928" s="58">
        <f>IF(K928&lt;=0,K928,0)</f>
        <v>0</v>
      </c>
      <c r="N928" s="58">
        <f>L928+-M928</f>
        <v>0</v>
      </c>
      <c r="O928" s="19"/>
      <c r="P928" s="19">
        <f t="shared" si="33"/>
        <v>0</v>
      </c>
      <c r="Q928" s="19">
        <f t="shared" si="32"/>
        <v>0</v>
      </c>
    </row>
    <row r="929" spans="2:17" x14ac:dyDescent="0.2">
      <c r="B929" s="21"/>
      <c r="C929" s="22"/>
      <c r="D929" s="23"/>
      <c r="E929" s="24"/>
      <c r="F929" s="24"/>
      <c r="G929" s="24"/>
      <c r="H929" s="24"/>
      <c r="I929" s="24"/>
      <c r="J929" s="24"/>
      <c r="K929" s="24"/>
      <c r="L929" s="58">
        <f>IF(K929&gt;=0,K929,0)</f>
        <v>0</v>
      </c>
      <c r="M929" s="58">
        <f>IF(K929&lt;=0,K929,0)</f>
        <v>0</v>
      </c>
      <c r="N929" s="58">
        <f>L929+-M929</f>
        <v>0</v>
      </c>
      <c r="O929" s="19"/>
      <c r="P929" s="19">
        <f t="shared" si="33"/>
        <v>0</v>
      </c>
      <c r="Q929" s="19">
        <f t="shared" si="32"/>
        <v>0</v>
      </c>
    </row>
    <row r="930" spans="2:17" x14ac:dyDescent="0.2">
      <c r="B930" s="21"/>
      <c r="C930" s="22"/>
      <c r="D930" s="23"/>
      <c r="E930" s="24"/>
      <c r="F930" s="24"/>
      <c r="G930" s="24"/>
      <c r="H930" s="24"/>
      <c r="I930" s="24"/>
      <c r="J930" s="24"/>
      <c r="K930" s="24"/>
      <c r="L930" s="58">
        <f>IF(K930&gt;=0,K930,0)</f>
        <v>0</v>
      </c>
      <c r="M930" s="58">
        <f>IF(K930&lt;=0,K930,0)</f>
        <v>0</v>
      </c>
      <c r="N930" s="58">
        <f>L930+-M930</f>
        <v>0</v>
      </c>
      <c r="O930" s="19"/>
      <c r="P930" s="19">
        <f t="shared" si="33"/>
        <v>0</v>
      </c>
      <c r="Q930" s="19">
        <f t="shared" si="32"/>
        <v>0</v>
      </c>
    </row>
    <row r="931" spans="2:17" x14ac:dyDescent="0.2">
      <c r="B931" s="21"/>
      <c r="C931" s="22"/>
      <c r="D931" s="23"/>
      <c r="E931" s="24"/>
      <c r="F931" s="24"/>
      <c r="G931" s="24"/>
      <c r="H931" s="24"/>
      <c r="I931" s="24"/>
      <c r="J931" s="24"/>
      <c r="K931" s="24"/>
      <c r="L931" s="58">
        <f>IF(K931&gt;=0,K931,0)</f>
        <v>0</v>
      </c>
      <c r="M931" s="58">
        <f>IF(K931&lt;=0,K931,0)</f>
        <v>0</v>
      </c>
      <c r="N931" s="58">
        <f>L931+-M931</f>
        <v>0</v>
      </c>
      <c r="O931" s="19"/>
      <c r="P931" s="19">
        <f t="shared" si="33"/>
        <v>0</v>
      </c>
      <c r="Q931" s="19">
        <f t="shared" si="32"/>
        <v>0</v>
      </c>
    </row>
    <row r="932" spans="2:17" x14ac:dyDescent="0.2">
      <c r="B932" s="21"/>
      <c r="C932" s="22"/>
      <c r="D932" s="23"/>
      <c r="E932" s="24"/>
      <c r="F932" s="24"/>
      <c r="G932" s="24"/>
      <c r="H932" s="24"/>
      <c r="I932" s="24"/>
      <c r="J932" s="24"/>
      <c r="K932" s="24"/>
      <c r="L932" s="58">
        <f>IF(K932&gt;=0,K932,0)</f>
        <v>0</v>
      </c>
      <c r="M932" s="58">
        <f>IF(K932&lt;=0,K932,0)</f>
        <v>0</v>
      </c>
      <c r="N932" s="58">
        <f>L932+-M932</f>
        <v>0</v>
      </c>
      <c r="O932" s="19"/>
      <c r="P932" s="19">
        <f t="shared" si="33"/>
        <v>0</v>
      </c>
      <c r="Q932" s="19">
        <f t="shared" si="32"/>
        <v>0</v>
      </c>
    </row>
    <row r="933" spans="2:17" x14ac:dyDescent="0.2">
      <c r="B933" s="21"/>
      <c r="C933" s="22"/>
      <c r="D933" s="23"/>
      <c r="E933" s="24"/>
      <c r="F933" s="24"/>
      <c r="G933" s="24"/>
      <c r="H933" s="24"/>
      <c r="I933" s="24"/>
      <c r="J933" s="24"/>
      <c r="K933" s="24"/>
      <c r="L933" s="58">
        <f>IF(K933&gt;=0,K933,0)</f>
        <v>0</v>
      </c>
      <c r="M933" s="58">
        <f>IF(K933&lt;=0,K933,0)</f>
        <v>0</v>
      </c>
      <c r="N933" s="58">
        <f>L933+-M933</f>
        <v>0</v>
      </c>
      <c r="O933" s="19"/>
      <c r="P933" s="19">
        <f t="shared" si="33"/>
        <v>0</v>
      </c>
      <c r="Q933" s="19">
        <f t="shared" si="32"/>
        <v>0</v>
      </c>
    </row>
    <row r="934" spans="2:17" x14ac:dyDescent="0.2">
      <c r="B934" s="21"/>
      <c r="C934" s="22"/>
      <c r="D934" s="23"/>
      <c r="E934" s="24"/>
      <c r="F934" s="24"/>
      <c r="G934" s="24"/>
      <c r="H934" s="24"/>
      <c r="I934" s="24"/>
      <c r="J934" s="24"/>
      <c r="K934" s="24"/>
      <c r="L934" s="58">
        <f>IF(K934&gt;=0,K934,0)</f>
        <v>0</v>
      </c>
      <c r="M934" s="58">
        <f>IF(K934&lt;=0,K934,0)</f>
        <v>0</v>
      </c>
      <c r="N934" s="58">
        <f>L934+-M934</f>
        <v>0</v>
      </c>
      <c r="O934" s="19"/>
      <c r="P934" s="19">
        <f t="shared" si="33"/>
        <v>0</v>
      </c>
      <c r="Q934" s="19">
        <f t="shared" si="32"/>
        <v>0</v>
      </c>
    </row>
    <row r="935" spans="2:17" x14ac:dyDescent="0.2">
      <c r="B935" s="21"/>
      <c r="C935" s="22"/>
      <c r="D935" s="23"/>
      <c r="E935" s="24"/>
      <c r="F935" s="24"/>
      <c r="G935" s="24"/>
      <c r="H935" s="24"/>
      <c r="I935" s="24"/>
      <c r="J935" s="24"/>
      <c r="K935" s="24"/>
      <c r="L935" s="58">
        <f>IF(K935&gt;=0,K935,0)</f>
        <v>0</v>
      </c>
      <c r="M935" s="58">
        <f>IF(K935&lt;=0,K935,0)</f>
        <v>0</v>
      </c>
      <c r="N935" s="58">
        <f>L935+-M935</f>
        <v>0</v>
      </c>
      <c r="O935" s="19"/>
      <c r="P935" s="19">
        <f t="shared" si="33"/>
        <v>0</v>
      </c>
      <c r="Q935" s="19">
        <f t="shared" si="32"/>
        <v>0</v>
      </c>
    </row>
    <row r="936" spans="2:17" x14ac:dyDescent="0.2">
      <c r="B936" s="21"/>
      <c r="C936" s="22"/>
      <c r="D936" s="23"/>
      <c r="E936" s="24"/>
      <c r="F936" s="24"/>
      <c r="G936" s="24"/>
      <c r="H936" s="24"/>
      <c r="I936" s="24"/>
      <c r="J936" s="24"/>
      <c r="K936" s="24"/>
      <c r="L936" s="58">
        <f>IF(K936&gt;=0,K936,0)</f>
        <v>0</v>
      </c>
      <c r="M936" s="58">
        <f>IF(K936&lt;=0,K936,0)</f>
        <v>0</v>
      </c>
      <c r="N936" s="58">
        <f>L936+-M936</f>
        <v>0</v>
      </c>
      <c r="O936" s="19"/>
      <c r="P936" s="19">
        <f t="shared" si="33"/>
        <v>0</v>
      </c>
      <c r="Q936" s="19">
        <f t="shared" si="32"/>
        <v>0</v>
      </c>
    </row>
    <row r="937" spans="2:17" x14ac:dyDescent="0.2">
      <c r="B937" s="21"/>
      <c r="C937" s="22"/>
      <c r="D937" s="23"/>
      <c r="E937" s="24"/>
      <c r="F937" s="24"/>
      <c r="G937" s="24"/>
      <c r="H937" s="24"/>
      <c r="I937" s="24"/>
      <c r="J937" s="24"/>
      <c r="K937" s="24"/>
      <c r="L937" s="58">
        <f>IF(K937&gt;=0,K937,0)</f>
        <v>0</v>
      </c>
      <c r="M937" s="58">
        <f>IF(K937&lt;=0,K937,0)</f>
        <v>0</v>
      </c>
      <c r="N937" s="58">
        <f>L937+-M937</f>
        <v>0</v>
      </c>
      <c r="O937" s="19"/>
      <c r="P937" s="19">
        <f t="shared" si="33"/>
        <v>0</v>
      </c>
      <c r="Q937" s="19">
        <f t="shared" si="32"/>
        <v>0</v>
      </c>
    </row>
    <row r="938" spans="2:17" x14ac:dyDescent="0.2">
      <c r="B938" s="21"/>
      <c r="C938" s="22"/>
      <c r="D938" s="23"/>
      <c r="E938" s="24"/>
      <c r="F938" s="24"/>
      <c r="G938" s="24"/>
      <c r="H938" s="24"/>
      <c r="I938" s="24"/>
      <c r="J938" s="24"/>
      <c r="K938" s="24"/>
      <c r="L938" s="58">
        <f>IF(K938&gt;=0,K938,0)</f>
        <v>0</v>
      </c>
      <c r="M938" s="58">
        <f>IF(K938&lt;=0,K938,0)</f>
        <v>0</v>
      </c>
      <c r="N938" s="58">
        <f>L938+-M938</f>
        <v>0</v>
      </c>
      <c r="O938" s="19"/>
      <c r="P938" s="19">
        <f t="shared" si="33"/>
        <v>0</v>
      </c>
      <c r="Q938" s="19">
        <f t="shared" si="32"/>
        <v>0</v>
      </c>
    </row>
    <row r="939" spans="2:17" x14ac:dyDescent="0.2">
      <c r="B939" s="21"/>
      <c r="C939" s="22"/>
      <c r="D939" s="23"/>
      <c r="E939" s="24"/>
      <c r="F939" s="24"/>
      <c r="G939" s="24"/>
      <c r="H939" s="24"/>
      <c r="I939" s="24"/>
      <c r="J939" s="24"/>
      <c r="K939" s="24"/>
      <c r="L939" s="58">
        <f>IF(K939&gt;=0,K939,0)</f>
        <v>0</v>
      </c>
      <c r="M939" s="58">
        <f>IF(K939&lt;=0,K939,0)</f>
        <v>0</v>
      </c>
      <c r="N939" s="58">
        <f>L939+-M939</f>
        <v>0</v>
      </c>
      <c r="O939" s="19"/>
      <c r="P939" s="19">
        <f t="shared" si="33"/>
        <v>0</v>
      </c>
      <c r="Q939" s="19">
        <f t="shared" si="32"/>
        <v>0</v>
      </c>
    </row>
    <row r="940" spans="2:17" x14ac:dyDescent="0.2">
      <c r="B940" s="21"/>
      <c r="C940" s="22"/>
      <c r="D940" s="23"/>
      <c r="E940" s="24"/>
      <c r="F940" s="24"/>
      <c r="G940" s="24"/>
      <c r="H940" s="24"/>
      <c r="I940" s="24"/>
      <c r="J940" s="24"/>
      <c r="K940" s="24"/>
      <c r="L940" s="58">
        <f>IF(K940&gt;=0,K940,0)</f>
        <v>0</v>
      </c>
      <c r="M940" s="58">
        <f>IF(K940&lt;=0,K940,0)</f>
        <v>0</v>
      </c>
      <c r="N940" s="58">
        <f>L940+-M940</f>
        <v>0</v>
      </c>
      <c r="O940" s="19"/>
      <c r="P940" s="19">
        <f t="shared" si="33"/>
        <v>0</v>
      </c>
      <c r="Q940" s="19">
        <f t="shared" si="32"/>
        <v>0</v>
      </c>
    </row>
    <row r="941" spans="2:17" x14ac:dyDescent="0.2">
      <c r="B941" s="21"/>
      <c r="C941" s="22"/>
      <c r="D941" s="23"/>
      <c r="E941" s="24"/>
      <c r="F941" s="24"/>
      <c r="G941" s="24"/>
      <c r="H941" s="24"/>
      <c r="I941" s="24"/>
      <c r="J941" s="24"/>
      <c r="K941" s="24"/>
      <c r="L941" s="58">
        <f>IF(K941&gt;=0,K941,0)</f>
        <v>0</v>
      </c>
      <c r="M941" s="58">
        <f>IF(K941&lt;=0,K941,0)</f>
        <v>0</v>
      </c>
      <c r="N941" s="58">
        <f>L941+-M941</f>
        <v>0</v>
      </c>
      <c r="O941" s="19"/>
      <c r="P941" s="19">
        <f t="shared" si="33"/>
        <v>0</v>
      </c>
      <c r="Q941" s="19">
        <f t="shared" si="32"/>
        <v>0</v>
      </c>
    </row>
    <row r="942" spans="2:17" x14ac:dyDescent="0.2">
      <c r="B942" s="21"/>
      <c r="C942" s="22"/>
      <c r="D942" s="23"/>
      <c r="E942" s="24"/>
      <c r="F942" s="24"/>
      <c r="G942" s="24"/>
      <c r="H942" s="24"/>
      <c r="I942" s="24"/>
      <c r="J942" s="24"/>
      <c r="K942" s="24"/>
      <c r="L942" s="58">
        <f>IF(K942&gt;=0,K942,0)</f>
        <v>0</v>
      </c>
      <c r="M942" s="58">
        <f>IF(K942&lt;=0,K942,0)</f>
        <v>0</v>
      </c>
      <c r="N942" s="58">
        <f>L942+-M942</f>
        <v>0</v>
      </c>
      <c r="O942" s="19"/>
      <c r="P942" s="19">
        <f t="shared" si="33"/>
        <v>0</v>
      </c>
      <c r="Q942" s="19">
        <f t="shared" si="32"/>
        <v>0</v>
      </c>
    </row>
    <row r="943" spans="2:17" x14ac:dyDescent="0.2">
      <c r="B943" s="21"/>
      <c r="C943" s="22"/>
      <c r="D943" s="23"/>
      <c r="E943" s="24"/>
      <c r="F943" s="24"/>
      <c r="G943" s="24"/>
      <c r="H943" s="24"/>
      <c r="I943" s="24"/>
      <c r="J943" s="24"/>
      <c r="K943" s="24"/>
      <c r="L943" s="58">
        <f>IF(K943&gt;=0,K943,0)</f>
        <v>0</v>
      </c>
      <c r="M943" s="58">
        <f>IF(K943&lt;=0,K943,0)</f>
        <v>0</v>
      </c>
      <c r="N943" s="58">
        <f>L943+-M943</f>
        <v>0</v>
      </c>
      <c r="O943" s="19"/>
      <c r="P943" s="19">
        <f t="shared" si="33"/>
        <v>0</v>
      </c>
      <c r="Q943" s="19">
        <f t="shared" si="32"/>
        <v>0</v>
      </c>
    </row>
    <row r="944" spans="2:17" x14ac:dyDescent="0.2">
      <c r="B944" s="21"/>
      <c r="C944" s="22"/>
      <c r="D944" s="23"/>
      <c r="E944" s="24"/>
      <c r="F944" s="24"/>
      <c r="G944" s="24"/>
      <c r="H944" s="24"/>
      <c r="I944" s="24"/>
      <c r="J944" s="24"/>
      <c r="K944" s="24"/>
      <c r="L944" s="58">
        <f>IF(K944&gt;=0,K944,0)</f>
        <v>0</v>
      </c>
      <c r="M944" s="58">
        <f>IF(K944&lt;=0,K944,0)</f>
        <v>0</v>
      </c>
      <c r="N944" s="58">
        <f>L944+-M944</f>
        <v>0</v>
      </c>
      <c r="O944" s="19"/>
      <c r="P944" s="19">
        <f t="shared" si="33"/>
        <v>0</v>
      </c>
      <c r="Q944" s="19">
        <f t="shared" si="32"/>
        <v>0</v>
      </c>
    </row>
    <row r="945" spans="2:17" x14ac:dyDescent="0.2">
      <c r="B945" s="21"/>
      <c r="C945" s="22"/>
      <c r="D945" s="23"/>
      <c r="E945" s="24"/>
      <c r="F945" s="24"/>
      <c r="G945" s="24"/>
      <c r="H945" s="24"/>
      <c r="I945" s="24"/>
      <c r="J945" s="24"/>
      <c r="K945" s="24"/>
      <c r="L945" s="58">
        <f>IF(K945&gt;=0,K945,0)</f>
        <v>0</v>
      </c>
      <c r="M945" s="58">
        <f>IF(K945&lt;=0,K945,0)</f>
        <v>0</v>
      </c>
      <c r="N945" s="58">
        <f>L945+-M945</f>
        <v>0</v>
      </c>
      <c r="O945" s="19"/>
      <c r="P945" s="19">
        <f t="shared" si="33"/>
        <v>0</v>
      </c>
      <c r="Q945" s="19">
        <f t="shared" si="32"/>
        <v>0</v>
      </c>
    </row>
    <row r="946" spans="2:17" x14ac:dyDescent="0.2">
      <c r="B946" s="21"/>
      <c r="C946" s="22"/>
      <c r="D946" s="23"/>
      <c r="E946" s="24"/>
      <c r="F946" s="24"/>
      <c r="G946" s="24"/>
      <c r="H946" s="24"/>
      <c r="I946" s="24"/>
      <c r="J946" s="24"/>
      <c r="K946" s="24"/>
      <c r="L946" s="58">
        <f>IF(K946&gt;=0,K946,0)</f>
        <v>0</v>
      </c>
      <c r="M946" s="58">
        <f>IF(K946&lt;=0,K946,0)</f>
        <v>0</v>
      </c>
      <c r="N946" s="58">
        <f>L946+-M946</f>
        <v>0</v>
      </c>
      <c r="O946" s="19"/>
      <c r="P946" s="19">
        <f t="shared" si="33"/>
        <v>0</v>
      </c>
      <c r="Q946" s="19">
        <f t="shared" si="32"/>
        <v>0</v>
      </c>
    </row>
    <row r="947" spans="2:17" x14ac:dyDescent="0.2">
      <c r="B947" s="21"/>
      <c r="C947" s="22"/>
      <c r="D947" s="23"/>
      <c r="E947" s="24"/>
      <c r="F947" s="24"/>
      <c r="G947" s="24"/>
      <c r="H947" s="24"/>
      <c r="I947" s="24"/>
      <c r="J947" s="24"/>
      <c r="K947" s="24"/>
      <c r="L947" s="58">
        <f>IF(K947&gt;=0,K947,0)</f>
        <v>0</v>
      </c>
      <c r="M947" s="58">
        <f>IF(K947&lt;=0,K947,0)</f>
        <v>0</v>
      </c>
      <c r="N947" s="58">
        <f>L947+-M947</f>
        <v>0</v>
      </c>
      <c r="O947" s="19"/>
      <c r="P947" s="19">
        <f t="shared" si="33"/>
        <v>0</v>
      </c>
      <c r="Q947" s="19">
        <f t="shared" si="32"/>
        <v>0</v>
      </c>
    </row>
    <row r="948" spans="2:17" x14ac:dyDescent="0.2">
      <c r="B948" s="21"/>
      <c r="C948" s="22"/>
      <c r="D948" s="23"/>
      <c r="E948" s="24"/>
      <c r="F948" s="24"/>
      <c r="G948" s="24"/>
      <c r="H948" s="24"/>
      <c r="I948" s="24"/>
      <c r="J948" s="24"/>
      <c r="K948" s="24"/>
      <c r="L948" s="58">
        <f>IF(K948&gt;=0,K948,0)</f>
        <v>0</v>
      </c>
      <c r="M948" s="58">
        <f>IF(K948&lt;=0,K948,0)</f>
        <v>0</v>
      </c>
      <c r="N948" s="58">
        <f>L948+-M948</f>
        <v>0</v>
      </c>
      <c r="O948" s="19"/>
      <c r="P948" s="19">
        <f t="shared" si="33"/>
        <v>0</v>
      </c>
      <c r="Q948" s="19">
        <f t="shared" si="32"/>
        <v>0</v>
      </c>
    </row>
    <row r="949" spans="2:17" x14ac:dyDescent="0.2">
      <c r="B949" s="21"/>
      <c r="C949" s="22"/>
      <c r="D949" s="23"/>
      <c r="E949" s="24"/>
      <c r="F949" s="24"/>
      <c r="G949" s="24"/>
      <c r="H949" s="24"/>
      <c r="I949" s="24"/>
      <c r="J949" s="24"/>
      <c r="K949" s="24"/>
      <c r="L949" s="58">
        <f>IF(K949&gt;=0,K949,0)</f>
        <v>0</v>
      </c>
      <c r="M949" s="58">
        <f>IF(K949&lt;=0,K949,0)</f>
        <v>0</v>
      </c>
      <c r="N949" s="58">
        <f>L949+-M949</f>
        <v>0</v>
      </c>
      <c r="O949" s="19"/>
      <c r="P949" s="19">
        <f t="shared" si="33"/>
        <v>0</v>
      </c>
      <c r="Q949" s="19">
        <f t="shared" si="32"/>
        <v>0</v>
      </c>
    </row>
    <row r="950" spans="2:17" x14ac:dyDescent="0.2">
      <c r="B950" s="21"/>
      <c r="C950" s="22"/>
      <c r="D950" s="23"/>
      <c r="E950" s="24"/>
      <c r="F950" s="24"/>
      <c r="G950" s="24"/>
      <c r="H950" s="24"/>
      <c r="I950" s="24"/>
      <c r="J950" s="24"/>
      <c r="K950" s="24"/>
      <c r="L950" s="58">
        <f>IF(K950&gt;=0,K950,0)</f>
        <v>0</v>
      </c>
      <c r="M950" s="58">
        <f>IF(K950&lt;=0,K950,0)</f>
        <v>0</v>
      </c>
      <c r="N950" s="58">
        <f>L950+-M950</f>
        <v>0</v>
      </c>
      <c r="O950" s="19"/>
      <c r="P950" s="19">
        <f t="shared" si="33"/>
        <v>0</v>
      </c>
      <c r="Q950" s="19">
        <f t="shared" si="32"/>
        <v>0</v>
      </c>
    </row>
    <row r="951" spans="2:17" x14ac:dyDescent="0.2">
      <c r="B951" s="21"/>
      <c r="C951" s="22"/>
      <c r="D951" s="23"/>
      <c r="E951" s="24"/>
      <c r="F951" s="24"/>
      <c r="G951" s="24"/>
      <c r="H951" s="24"/>
      <c r="I951" s="24"/>
      <c r="J951" s="24"/>
      <c r="K951" s="24"/>
      <c r="L951" s="58">
        <f>IF(K951&gt;=0,K951,0)</f>
        <v>0</v>
      </c>
      <c r="M951" s="58">
        <f>IF(K951&lt;=0,K951,0)</f>
        <v>0</v>
      </c>
      <c r="N951" s="58">
        <f>L951+-M951</f>
        <v>0</v>
      </c>
      <c r="O951" s="19"/>
      <c r="P951" s="19">
        <f t="shared" si="33"/>
        <v>0</v>
      </c>
      <c r="Q951" s="19">
        <f t="shared" si="32"/>
        <v>0</v>
      </c>
    </row>
    <row r="952" spans="2:17" x14ac:dyDescent="0.2">
      <c r="B952" s="21"/>
      <c r="C952" s="22"/>
      <c r="D952" s="23"/>
      <c r="E952" s="24"/>
      <c r="F952" s="24"/>
      <c r="G952" s="24"/>
      <c r="H952" s="24"/>
      <c r="I952" s="24"/>
      <c r="J952" s="24"/>
      <c r="K952" s="24"/>
      <c r="L952" s="58">
        <f>IF(K952&gt;=0,K952,0)</f>
        <v>0</v>
      </c>
      <c r="M952" s="58">
        <f>IF(K952&lt;=0,K952,0)</f>
        <v>0</v>
      </c>
      <c r="N952" s="58">
        <f>L952+-M952</f>
        <v>0</v>
      </c>
      <c r="O952" s="19"/>
      <c r="P952" s="19">
        <f t="shared" si="33"/>
        <v>0</v>
      </c>
      <c r="Q952" s="19">
        <f t="shared" si="32"/>
        <v>0</v>
      </c>
    </row>
    <row r="953" spans="2:17" x14ac:dyDescent="0.2">
      <c r="B953" s="21"/>
      <c r="C953" s="22"/>
      <c r="D953" s="23"/>
      <c r="E953" s="24"/>
      <c r="F953" s="24"/>
      <c r="G953" s="24"/>
      <c r="H953" s="24"/>
      <c r="I953" s="24"/>
      <c r="J953" s="24"/>
      <c r="K953" s="24"/>
      <c r="L953" s="58">
        <f>IF(K953&gt;=0,K953,0)</f>
        <v>0</v>
      </c>
      <c r="M953" s="58">
        <f>IF(K953&lt;=0,K953,0)</f>
        <v>0</v>
      </c>
      <c r="N953" s="58">
        <f>L953+-M953</f>
        <v>0</v>
      </c>
      <c r="O953" s="19"/>
      <c r="P953" s="19">
        <f t="shared" si="33"/>
        <v>0</v>
      </c>
      <c r="Q953" s="19">
        <f t="shared" si="32"/>
        <v>0</v>
      </c>
    </row>
    <row r="954" spans="2:17" x14ac:dyDescent="0.2">
      <c r="B954" s="21"/>
      <c r="C954" s="22"/>
      <c r="D954" s="23"/>
      <c r="E954" s="24"/>
      <c r="F954" s="24"/>
      <c r="G954" s="24"/>
      <c r="H954" s="24"/>
      <c r="I954" s="24"/>
      <c r="J954" s="24"/>
      <c r="K954" s="24"/>
      <c r="L954" s="58">
        <f>IF(K954&gt;=0,K954,0)</f>
        <v>0</v>
      </c>
      <c r="M954" s="58">
        <f>IF(K954&lt;=0,K954,0)</f>
        <v>0</v>
      </c>
      <c r="N954" s="58">
        <f>L954+-M954</f>
        <v>0</v>
      </c>
      <c r="O954" s="19"/>
      <c r="P954" s="19">
        <f t="shared" si="33"/>
        <v>0</v>
      </c>
      <c r="Q954" s="19">
        <f t="shared" si="32"/>
        <v>0</v>
      </c>
    </row>
    <row r="955" spans="2:17" x14ac:dyDescent="0.2">
      <c r="B955" s="21"/>
      <c r="C955" s="22"/>
      <c r="D955" s="23"/>
      <c r="E955" s="24"/>
      <c r="F955" s="24"/>
      <c r="G955" s="24"/>
      <c r="H955" s="24"/>
      <c r="I955" s="24"/>
      <c r="J955" s="24"/>
      <c r="K955" s="24"/>
      <c r="L955" s="58">
        <f>IF(K955&gt;=0,K955,0)</f>
        <v>0</v>
      </c>
      <c r="M955" s="58">
        <f>IF(K955&lt;=0,K955,0)</f>
        <v>0</v>
      </c>
      <c r="N955" s="58">
        <f>L955+-M955</f>
        <v>0</v>
      </c>
      <c r="O955" s="19"/>
      <c r="P955" s="19">
        <f t="shared" si="33"/>
        <v>0</v>
      </c>
      <c r="Q955" s="19">
        <f t="shared" si="32"/>
        <v>0</v>
      </c>
    </row>
    <row r="956" spans="2:17" x14ac:dyDescent="0.2">
      <c r="B956" s="21"/>
      <c r="C956" s="22"/>
      <c r="D956" s="23"/>
      <c r="E956" s="24"/>
      <c r="F956" s="24"/>
      <c r="G956" s="24"/>
      <c r="H956" s="24"/>
      <c r="I956" s="24"/>
      <c r="J956" s="24"/>
      <c r="K956" s="24"/>
      <c r="L956" s="58">
        <f>IF(K956&gt;=0,K956,0)</f>
        <v>0</v>
      </c>
      <c r="M956" s="58">
        <f>IF(K956&lt;=0,K956,0)</f>
        <v>0</v>
      </c>
      <c r="N956" s="58">
        <f>L956+-M956</f>
        <v>0</v>
      </c>
      <c r="O956" s="19"/>
      <c r="P956" s="19">
        <f t="shared" si="33"/>
        <v>0</v>
      </c>
      <c r="Q956" s="19">
        <f t="shared" ref="Q956:Q1019" si="34">P956+Q955</f>
        <v>0</v>
      </c>
    </row>
    <row r="957" spans="2:17" x14ac:dyDescent="0.2">
      <c r="B957" s="21"/>
      <c r="C957" s="22"/>
      <c r="D957" s="23"/>
      <c r="E957" s="24"/>
      <c r="F957" s="24"/>
      <c r="G957" s="24"/>
      <c r="H957" s="24"/>
      <c r="I957" s="24"/>
      <c r="J957" s="24"/>
      <c r="K957" s="24"/>
      <c r="L957" s="58">
        <f>IF(K957&gt;=0,K957,0)</f>
        <v>0</v>
      </c>
      <c r="M957" s="58">
        <f>IF(K957&lt;=0,K957,0)</f>
        <v>0</v>
      </c>
      <c r="N957" s="58">
        <f>L957+-M957</f>
        <v>0</v>
      </c>
      <c r="O957" s="19"/>
      <c r="P957" s="19">
        <f t="shared" si="33"/>
        <v>0</v>
      </c>
      <c r="Q957" s="19">
        <f t="shared" si="34"/>
        <v>0</v>
      </c>
    </row>
    <row r="958" spans="2:17" x14ac:dyDescent="0.2">
      <c r="B958" s="21"/>
      <c r="C958" s="22"/>
      <c r="D958" s="23"/>
      <c r="E958" s="24"/>
      <c r="F958" s="24"/>
      <c r="G958" s="24"/>
      <c r="H958" s="24"/>
      <c r="I958" s="24"/>
      <c r="J958" s="24"/>
      <c r="K958" s="24"/>
      <c r="L958" s="58">
        <f>IF(K958&gt;=0,K958,0)</f>
        <v>0</v>
      </c>
      <c r="M958" s="58">
        <f>IF(K958&lt;=0,K958,0)</f>
        <v>0</v>
      </c>
      <c r="N958" s="58">
        <f>L958+-M958</f>
        <v>0</v>
      </c>
      <c r="O958" s="19"/>
      <c r="P958" s="19">
        <f t="shared" si="33"/>
        <v>0</v>
      </c>
      <c r="Q958" s="19">
        <f t="shared" si="34"/>
        <v>0</v>
      </c>
    </row>
    <row r="959" spans="2:17" x14ac:dyDescent="0.2">
      <c r="B959" s="21"/>
      <c r="C959" s="22"/>
      <c r="D959" s="23"/>
      <c r="E959" s="24"/>
      <c r="F959" s="24"/>
      <c r="G959" s="24"/>
      <c r="H959" s="24"/>
      <c r="I959" s="24"/>
      <c r="J959" s="24"/>
      <c r="K959" s="24"/>
      <c r="L959" s="58">
        <f>IF(K959&gt;=0,K959,0)</f>
        <v>0</v>
      </c>
      <c r="M959" s="58">
        <f>IF(K959&lt;=0,K959,0)</f>
        <v>0</v>
      </c>
      <c r="N959" s="58">
        <f>L959+-M959</f>
        <v>0</v>
      </c>
      <c r="O959" s="19"/>
      <c r="P959" s="19">
        <f t="shared" si="33"/>
        <v>0</v>
      </c>
      <c r="Q959" s="19">
        <f t="shared" si="34"/>
        <v>0</v>
      </c>
    </row>
    <row r="960" spans="2:17" x14ac:dyDescent="0.2">
      <c r="B960" s="21"/>
      <c r="C960" s="22"/>
      <c r="D960" s="23"/>
      <c r="E960" s="24"/>
      <c r="F960" s="24"/>
      <c r="G960" s="24"/>
      <c r="H960" s="24"/>
      <c r="I960" s="24"/>
      <c r="J960" s="24"/>
      <c r="K960" s="24"/>
      <c r="L960" s="58">
        <f>IF(K960&gt;=0,K960,0)</f>
        <v>0</v>
      </c>
      <c r="M960" s="58">
        <f>IF(K960&lt;=0,K960,0)</f>
        <v>0</v>
      </c>
      <c r="N960" s="58">
        <f>L960+-M960</f>
        <v>0</v>
      </c>
      <c r="O960" s="19"/>
      <c r="P960" s="19">
        <f t="shared" si="33"/>
        <v>0</v>
      </c>
      <c r="Q960" s="19">
        <f t="shared" si="34"/>
        <v>0</v>
      </c>
    </row>
    <row r="961" spans="2:17" x14ac:dyDescent="0.2">
      <c r="B961" s="21"/>
      <c r="C961" s="22"/>
      <c r="D961" s="23"/>
      <c r="E961" s="24"/>
      <c r="F961" s="24"/>
      <c r="G961" s="24"/>
      <c r="H961" s="24"/>
      <c r="I961" s="24"/>
      <c r="J961" s="24"/>
      <c r="K961" s="24"/>
      <c r="L961" s="58">
        <f>IF(K961&gt;=0,K961,0)</f>
        <v>0</v>
      </c>
      <c r="M961" s="58">
        <f>IF(K961&lt;=0,K961,0)</f>
        <v>0</v>
      </c>
      <c r="N961" s="58">
        <f>L961+-M961</f>
        <v>0</v>
      </c>
      <c r="O961" s="19"/>
      <c r="P961" s="19">
        <f t="shared" si="33"/>
        <v>0</v>
      </c>
      <c r="Q961" s="19">
        <f t="shared" si="34"/>
        <v>0</v>
      </c>
    </row>
    <row r="962" spans="2:17" x14ac:dyDescent="0.2">
      <c r="B962" s="21"/>
      <c r="C962" s="22"/>
      <c r="D962" s="23"/>
      <c r="E962" s="24"/>
      <c r="F962" s="24"/>
      <c r="G962" s="24"/>
      <c r="H962" s="24"/>
      <c r="I962" s="24"/>
      <c r="J962" s="24"/>
      <c r="K962" s="24"/>
      <c r="L962" s="58">
        <f>IF(K962&gt;=0,K962,0)</f>
        <v>0</v>
      </c>
      <c r="M962" s="58">
        <f>IF(K962&lt;=0,K962,0)</f>
        <v>0</v>
      </c>
      <c r="N962" s="58">
        <f>L962+-M962</f>
        <v>0</v>
      </c>
      <c r="O962" s="19"/>
      <c r="P962" s="19">
        <f t="shared" si="33"/>
        <v>0</v>
      </c>
      <c r="Q962" s="19">
        <f t="shared" si="34"/>
        <v>0</v>
      </c>
    </row>
    <row r="963" spans="2:17" x14ac:dyDescent="0.2">
      <c r="B963" s="21"/>
      <c r="C963" s="22"/>
      <c r="D963" s="23"/>
      <c r="E963" s="24"/>
      <c r="F963" s="24"/>
      <c r="G963" s="24"/>
      <c r="H963" s="24"/>
      <c r="I963" s="24"/>
      <c r="J963" s="24"/>
      <c r="K963" s="24"/>
      <c r="L963" s="58">
        <f>IF(K963&gt;=0,K963,0)</f>
        <v>0</v>
      </c>
      <c r="M963" s="58">
        <f>IF(K963&lt;=0,K963,0)</f>
        <v>0</v>
      </c>
      <c r="N963" s="58">
        <f>L963+-M963</f>
        <v>0</v>
      </c>
      <c r="O963" s="19"/>
      <c r="P963" s="19">
        <f t="shared" si="33"/>
        <v>0</v>
      </c>
      <c r="Q963" s="19">
        <f t="shared" si="34"/>
        <v>0</v>
      </c>
    </row>
    <row r="964" spans="2:17" x14ac:dyDescent="0.2">
      <c r="B964" s="21"/>
      <c r="C964" s="22"/>
      <c r="D964" s="23"/>
      <c r="E964" s="24"/>
      <c r="F964" s="24"/>
      <c r="G964" s="24"/>
      <c r="H964" s="24"/>
      <c r="I964" s="24"/>
      <c r="J964" s="24"/>
      <c r="K964" s="24"/>
      <c r="L964" s="58">
        <f>IF(K964&gt;=0,K964,0)</f>
        <v>0</v>
      </c>
      <c r="M964" s="58">
        <f>IF(K964&lt;=0,K964,0)</f>
        <v>0</v>
      </c>
      <c r="N964" s="58">
        <f>L964+-M964</f>
        <v>0</v>
      </c>
      <c r="O964" s="19"/>
      <c r="P964" s="19">
        <f t="shared" si="33"/>
        <v>0</v>
      </c>
      <c r="Q964" s="19">
        <f t="shared" si="34"/>
        <v>0</v>
      </c>
    </row>
    <row r="965" spans="2:17" x14ac:dyDescent="0.2">
      <c r="B965" s="21"/>
      <c r="C965" s="22"/>
      <c r="D965" s="23"/>
      <c r="E965" s="24"/>
      <c r="F965" s="24"/>
      <c r="G965" s="24"/>
      <c r="H965" s="24"/>
      <c r="I965" s="24"/>
      <c r="J965" s="24"/>
      <c r="K965" s="24"/>
      <c r="L965" s="58">
        <f>IF(K965&gt;=0,K965,0)</f>
        <v>0</v>
      </c>
      <c r="M965" s="58">
        <f>IF(K965&lt;=0,K965,0)</f>
        <v>0</v>
      </c>
      <c r="N965" s="58">
        <f>L965+-M965</f>
        <v>0</v>
      </c>
      <c r="O965" s="19"/>
      <c r="P965" s="19">
        <f t="shared" si="33"/>
        <v>0</v>
      </c>
      <c r="Q965" s="19">
        <f t="shared" si="34"/>
        <v>0</v>
      </c>
    </row>
    <row r="966" spans="2:17" x14ac:dyDescent="0.2">
      <c r="B966" s="21"/>
      <c r="C966" s="22"/>
      <c r="D966" s="23"/>
      <c r="E966" s="24"/>
      <c r="F966" s="24"/>
      <c r="G966" s="24"/>
      <c r="H966" s="24"/>
      <c r="I966" s="24"/>
      <c r="J966" s="24"/>
      <c r="K966" s="24"/>
      <c r="L966" s="58">
        <f>IF(K966&gt;=0,K966,0)</f>
        <v>0</v>
      </c>
      <c r="M966" s="58">
        <f>IF(K966&lt;=0,K966,0)</f>
        <v>0</v>
      </c>
      <c r="N966" s="58">
        <f>L966+-M966</f>
        <v>0</v>
      </c>
      <c r="O966" s="19"/>
      <c r="P966" s="19">
        <f t="shared" si="33"/>
        <v>0</v>
      </c>
      <c r="Q966" s="19">
        <f t="shared" si="34"/>
        <v>0</v>
      </c>
    </row>
    <row r="967" spans="2:17" x14ac:dyDescent="0.2">
      <c r="B967" s="21"/>
      <c r="C967" s="22"/>
      <c r="D967" s="23"/>
      <c r="E967" s="24"/>
      <c r="F967" s="24"/>
      <c r="G967" s="24"/>
      <c r="H967" s="24"/>
      <c r="I967" s="24"/>
      <c r="J967" s="24"/>
      <c r="K967" s="24"/>
      <c r="L967" s="58">
        <f>IF(K967&gt;=0,K967,0)</f>
        <v>0</v>
      </c>
      <c r="M967" s="58">
        <f>IF(K967&lt;=0,K967,0)</f>
        <v>0</v>
      </c>
      <c r="N967" s="58">
        <f>L967+-M967</f>
        <v>0</v>
      </c>
      <c r="O967" s="19"/>
      <c r="P967" s="19">
        <f t="shared" ref="P967:P1030" si="35">N967/$N$1055</f>
        <v>0</v>
      </c>
      <c r="Q967" s="19">
        <f t="shared" si="34"/>
        <v>0</v>
      </c>
    </row>
    <row r="968" spans="2:17" x14ac:dyDescent="0.2">
      <c r="B968" s="21"/>
      <c r="C968" s="22"/>
      <c r="D968" s="23"/>
      <c r="E968" s="24"/>
      <c r="F968" s="24"/>
      <c r="G968" s="24"/>
      <c r="H968" s="24"/>
      <c r="I968" s="24"/>
      <c r="J968" s="24"/>
      <c r="K968" s="24"/>
      <c r="L968" s="58">
        <f>IF(K968&gt;=0,K968,0)</f>
        <v>0</v>
      </c>
      <c r="M968" s="58">
        <f>IF(K968&lt;=0,K968,0)</f>
        <v>0</v>
      </c>
      <c r="N968" s="58">
        <f>L968+-M968</f>
        <v>0</v>
      </c>
      <c r="O968" s="19"/>
      <c r="P968" s="19">
        <f t="shared" si="35"/>
        <v>0</v>
      </c>
      <c r="Q968" s="19">
        <f t="shared" si="34"/>
        <v>0</v>
      </c>
    </row>
    <row r="969" spans="2:17" x14ac:dyDescent="0.2">
      <c r="B969" s="21"/>
      <c r="C969" s="22"/>
      <c r="D969" s="23"/>
      <c r="E969" s="24"/>
      <c r="F969" s="24"/>
      <c r="G969" s="24"/>
      <c r="H969" s="24"/>
      <c r="I969" s="24"/>
      <c r="J969" s="24"/>
      <c r="K969" s="24"/>
      <c r="L969" s="58">
        <f>IF(K969&gt;=0,K969,0)</f>
        <v>0</v>
      </c>
      <c r="M969" s="58">
        <f>IF(K969&lt;=0,K969,0)</f>
        <v>0</v>
      </c>
      <c r="N969" s="58">
        <f>L969+-M969</f>
        <v>0</v>
      </c>
      <c r="O969" s="19"/>
      <c r="P969" s="19">
        <f t="shared" si="35"/>
        <v>0</v>
      </c>
      <c r="Q969" s="19">
        <f t="shared" si="34"/>
        <v>0</v>
      </c>
    </row>
    <row r="970" spans="2:17" x14ac:dyDescent="0.2">
      <c r="B970" s="21"/>
      <c r="C970" s="22"/>
      <c r="D970" s="23"/>
      <c r="E970" s="24"/>
      <c r="F970" s="24"/>
      <c r="G970" s="24"/>
      <c r="H970" s="24"/>
      <c r="I970" s="24"/>
      <c r="J970" s="24"/>
      <c r="K970" s="24"/>
      <c r="L970" s="58">
        <f>IF(K970&gt;=0,K970,0)</f>
        <v>0</v>
      </c>
      <c r="M970" s="58">
        <f>IF(K970&lt;=0,K970,0)</f>
        <v>0</v>
      </c>
      <c r="N970" s="58">
        <f>L970+-M970</f>
        <v>0</v>
      </c>
      <c r="O970" s="19"/>
      <c r="P970" s="19">
        <f t="shared" si="35"/>
        <v>0</v>
      </c>
      <c r="Q970" s="19">
        <f t="shared" si="34"/>
        <v>0</v>
      </c>
    </row>
    <row r="971" spans="2:17" x14ac:dyDescent="0.2">
      <c r="B971" s="21"/>
      <c r="C971" s="22"/>
      <c r="D971" s="23"/>
      <c r="E971" s="24"/>
      <c r="F971" s="24"/>
      <c r="G971" s="24"/>
      <c r="H971" s="24"/>
      <c r="I971" s="24"/>
      <c r="J971" s="24"/>
      <c r="K971" s="24"/>
      <c r="L971" s="58">
        <f>IF(K971&gt;=0,K971,0)</f>
        <v>0</v>
      </c>
      <c r="M971" s="58">
        <f>IF(K971&lt;=0,K971,0)</f>
        <v>0</v>
      </c>
      <c r="N971" s="58">
        <f>L971+-M971</f>
        <v>0</v>
      </c>
      <c r="O971" s="19"/>
      <c r="P971" s="19">
        <f t="shared" si="35"/>
        <v>0</v>
      </c>
      <c r="Q971" s="19">
        <f t="shared" si="34"/>
        <v>0</v>
      </c>
    </row>
    <row r="972" spans="2:17" x14ac:dyDescent="0.2">
      <c r="B972" s="21"/>
      <c r="C972" s="22"/>
      <c r="D972" s="23"/>
      <c r="E972" s="24"/>
      <c r="F972" s="24"/>
      <c r="G972" s="24"/>
      <c r="H972" s="24"/>
      <c r="I972" s="24"/>
      <c r="J972" s="24"/>
      <c r="K972" s="24"/>
      <c r="L972" s="58">
        <f>IF(K972&gt;=0,K972,0)</f>
        <v>0</v>
      </c>
      <c r="M972" s="58">
        <f>IF(K972&lt;=0,K972,0)</f>
        <v>0</v>
      </c>
      <c r="N972" s="58">
        <f>L972+-M972</f>
        <v>0</v>
      </c>
      <c r="O972" s="19"/>
      <c r="P972" s="19">
        <f t="shared" si="35"/>
        <v>0</v>
      </c>
      <c r="Q972" s="19">
        <f t="shared" si="34"/>
        <v>0</v>
      </c>
    </row>
    <row r="973" spans="2:17" x14ac:dyDescent="0.2">
      <c r="B973" s="21"/>
      <c r="C973" s="22"/>
      <c r="D973" s="23"/>
      <c r="E973" s="24"/>
      <c r="F973" s="24"/>
      <c r="G973" s="24"/>
      <c r="H973" s="24"/>
      <c r="I973" s="24"/>
      <c r="J973" s="24"/>
      <c r="K973" s="24"/>
      <c r="L973" s="58">
        <f>IF(K973&gt;=0,K973,0)</f>
        <v>0</v>
      </c>
      <c r="M973" s="58">
        <f>IF(K973&lt;=0,K973,0)</f>
        <v>0</v>
      </c>
      <c r="N973" s="58">
        <f>L973+-M973</f>
        <v>0</v>
      </c>
      <c r="O973" s="19"/>
      <c r="P973" s="19">
        <f t="shared" si="35"/>
        <v>0</v>
      </c>
      <c r="Q973" s="19">
        <f t="shared" si="34"/>
        <v>0</v>
      </c>
    </row>
    <row r="974" spans="2:17" x14ac:dyDescent="0.2">
      <c r="B974" s="21"/>
      <c r="C974" s="22"/>
      <c r="D974" s="23"/>
      <c r="E974" s="24"/>
      <c r="F974" s="24"/>
      <c r="G974" s="24"/>
      <c r="H974" s="24"/>
      <c r="I974" s="24"/>
      <c r="J974" s="24"/>
      <c r="K974" s="24"/>
      <c r="L974" s="58">
        <f>IF(K974&gt;=0,K974,0)</f>
        <v>0</v>
      </c>
      <c r="M974" s="58">
        <f>IF(K974&lt;=0,K974,0)</f>
        <v>0</v>
      </c>
      <c r="N974" s="58">
        <f>L974+-M974</f>
        <v>0</v>
      </c>
      <c r="O974" s="19"/>
      <c r="P974" s="19">
        <f t="shared" si="35"/>
        <v>0</v>
      </c>
      <c r="Q974" s="19">
        <f t="shared" si="34"/>
        <v>0</v>
      </c>
    </row>
    <row r="975" spans="2:17" x14ac:dyDescent="0.2">
      <c r="B975" s="21"/>
      <c r="C975" s="22"/>
      <c r="D975" s="23"/>
      <c r="E975" s="24"/>
      <c r="F975" s="24"/>
      <c r="G975" s="24"/>
      <c r="H975" s="24"/>
      <c r="I975" s="24"/>
      <c r="J975" s="24"/>
      <c r="K975" s="24"/>
      <c r="L975" s="58">
        <f>IF(K975&gt;=0,K975,0)</f>
        <v>0</v>
      </c>
      <c r="M975" s="58">
        <f>IF(K975&lt;=0,K975,0)</f>
        <v>0</v>
      </c>
      <c r="N975" s="58">
        <f>L975+-M975</f>
        <v>0</v>
      </c>
      <c r="O975" s="19"/>
      <c r="P975" s="19">
        <f t="shared" si="35"/>
        <v>0</v>
      </c>
      <c r="Q975" s="19">
        <f t="shared" si="34"/>
        <v>0</v>
      </c>
    </row>
    <row r="976" spans="2:17" x14ac:dyDescent="0.2">
      <c r="B976" s="21"/>
      <c r="C976" s="22"/>
      <c r="D976" s="23"/>
      <c r="E976" s="24"/>
      <c r="F976" s="24"/>
      <c r="G976" s="24"/>
      <c r="H976" s="24"/>
      <c r="I976" s="24"/>
      <c r="J976" s="24"/>
      <c r="K976" s="24"/>
      <c r="L976" s="58">
        <f>IF(K976&gt;=0,K976,0)</f>
        <v>0</v>
      </c>
      <c r="M976" s="58">
        <f>IF(K976&lt;=0,K976,0)</f>
        <v>0</v>
      </c>
      <c r="N976" s="58">
        <f>L976+-M976</f>
        <v>0</v>
      </c>
      <c r="O976" s="19"/>
      <c r="P976" s="19">
        <f t="shared" si="35"/>
        <v>0</v>
      </c>
      <c r="Q976" s="19">
        <f t="shared" si="34"/>
        <v>0</v>
      </c>
    </row>
    <row r="977" spans="2:17" x14ac:dyDescent="0.2">
      <c r="B977" s="21"/>
      <c r="C977" s="22"/>
      <c r="D977" s="23"/>
      <c r="E977" s="24"/>
      <c r="F977" s="24"/>
      <c r="G977" s="24"/>
      <c r="H977" s="24"/>
      <c r="I977" s="24"/>
      <c r="J977" s="24"/>
      <c r="K977" s="24"/>
      <c r="L977" s="58">
        <f>IF(K977&gt;=0,K977,0)</f>
        <v>0</v>
      </c>
      <c r="M977" s="58">
        <f>IF(K977&lt;=0,K977,0)</f>
        <v>0</v>
      </c>
      <c r="N977" s="58">
        <f>L977+-M977</f>
        <v>0</v>
      </c>
      <c r="O977" s="19"/>
      <c r="P977" s="19">
        <f t="shared" si="35"/>
        <v>0</v>
      </c>
      <c r="Q977" s="19">
        <f t="shared" si="34"/>
        <v>0</v>
      </c>
    </row>
    <row r="978" spans="2:17" x14ac:dyDescent="0.2">
      <c r="B978" s="21"/>
      <c r="C978" s="22"/>
      <c r="D978" s="23"/>
      <c r="E978" s="24"/>
      <c r="F978" s="24"/>
      <c r="G978" s="24"/>
      <c r="H978" s="24"/>
      <c r="I978" s="24"/>
      <c r="J978" s="24"/>
      <c r="K978" s="24"/>
      <c r="L978" s="58">
        <f>IF(K978&gt;=0,K978,0)</f>
        <v>0</v>
      </c>
      <c r="M978" s="58">
        <f>IF(K978&lt;=0,K978,0)</f>
        <v>0</v>
      </c>
      <c r="N978" s="58">
        <f>L978+-M978</f>
        <v>0</v>
      </c>
      <c r="O978" s="19"/>
      <c r="P978" s="19">
        <f t="shared" si="35"/>
        <v>0</v>
      </c>
      <c r="Q978" s="19">
        <f t="shared" si="34"/>
        <v>0</v>
      </c>
    </row>
    <row r="979" spans="2:17" x14ac:dyDescent="0.2">
      <c r="B979" s="21"/>
      <c r="C979" s="22"/>
      <c r="D979" s="23"/>
      <c r="E979" s="24"/>
      <c r="F979" s="24"/>
      <c r="G979" s="24"/>
      <c r="H979" s="24"/>
      <c r="I979" s="24"/>
      <c r="J979" s="24"/>
      <c r="K979" s="24"/>
      <c r="L979" s="58">
        <f>IF(K979&gt;=0,K979,0)</f>
        <v>0</v>
      </c>
      <c r="M979" s="58">
        <f>IF(K979&lt;=0,K979,0)</f>
        <v>0</v>
      </c>
      <c r="N979" s="58">
        <f>L979+-M979</f>
        <v>0</v>
      </c>
      <c r="O979" s="19"/>
      <c r="P979" s="19">
        <f t="shared" si="35"/>
        <v>0</v>
      </c>
      <c r="Q979" s="19">
        <f t="shared" si="34"/>
        <v>0</v>
      </c>
    </row>
    <row r="980" spans="2:17" x14ac:dyDescent="0.2">
      <c r="B980" s="21"/>
      <c r="C980" s="22"/>
      <c r="D980" s="23"/>
      <c r="E980" s="24"/>
      <c r="F980" s="24"/>
      <c r="G980" s="24"/>
      <c r="H980" s="24"/>
      <c r="I980" s="24"/>
      <c r="J980" s="24"/>
      <c r="K980" s="24"/>
      <c r="L980" s="58">
        <f>IF(K980&gt;=0,K980,0)</f>
        <v>0</v>
      </c>
      <c r="M980" s="58">
        <f>IF(K980&lt;=0,K980,0)</f>
        <v>0</v>
      </c>
      <c r="N980" s="58">
        <f>L980+-M980</f>
        <v>0</v>
      </c>
      <c r="O980" s="19"/>
      <c r="P980" s="19">
        <f t="shared" si="35"/>
        <v>0</v>
      </c>
      <c r="Q980" s="19">
        <f t="shared" si="34"/>
        <v>0</v>
      </c>
    </row>
    <row r="981" spans="2:17" x14ac:dyDescent="0.2">
      <c r="B981" s="21"/>
      <c r="C981" s="22"/>
      <c r="D981" s="23"/>
      <c r="E981" s="24"/>
      <c r="F981" s="24"/>
      <c r="G981" s="24"/>
      <c r="H981" s="24"/>
      <c r="I981" s="24"/>
      <c r="J981" s="24"/>
      <c r="K981" s="24"/>
      <c r="L981" s="58">
        <f>IF(K981&gt;=0,K981,0)</f>
        <v>0</v>
      </c>
      <c r="M981" s="58">
        <f>IF(K981&lt;=0,K981,0)</f>
        <v>0</v>
      </c>
      <c r="N981" s="58">
        <f>L981+-M981</f>
        <v>0</v>
      </c>
      <c r="O981" s="19"/>
      <c r="P981" s="19">
        <f t="shared" si="35"/>
        <v>0</v>
      </c>
      <c r="Q981" s="19">
        <f t="shared" si="34"/>
        <v>0</v>
      </c>
    </row>
    <row r="982" spans="2:17" x14ac:dyDescent="0.2">
      <c r="B982" s="21"/>
      <c r="C982" s="22"/>
      <c r="D982" s="23"/>
      <c r="E982" s="24"/>
      <c r="F982" s="24"/>
      <c r="G982" s="24"/>
      <c r="H982" s="24"/>
      <c r="I982" s="24"/>
      <c r="J982" s="24"/>
      <c r="K982" s="24"/>
      <c r="L982" s="58">
        <f>IF(K982&gt;=0,K982,0)</f>
        <v>0</v>
      </c>
      <c r="M982" s="58">
        <f>IF(K982&lt;=0,K982,0)</f>
        <v>0</v>
      </c>
      <c r="N982" s="58">
        <f>L982+-M982</f>
        <v>0</v>
      </c>
      <c r="O982" s="19"/>
      <c r="P982" s="19">
        <f t="shared" si="35"/>
        <v>0</v>
      </c>
      <c r="Q982" s="19">
        <f t="shared" si="34"/>
        <v>0</v>
      </c>
    </row>
    <row r="983" spans="2:17" x14ac:dyDescent="0.2">
      <c r="B983" s="21"/>
      <c r="C983" s="22"/>
      <c r="D983" s="23"/>
      <c r="E983" s="24"/>
      <c r="F983" s="24"/>
      <c r="G983" s="24"/>
      <c r="H983" s="24"/>
      <c r="I983" s="24"/>
      <c r="J983" s="24"/>
      <c r="K983" s="24"/>
      <c r="L983" s="58">
        <f>IF(K983&gt;=0,K983,0)</f>
        <v>0</v>
      </c>
      <c r="M983" s="58">
        <f>IF(K983&lt;=0,K983,0)</f>
        <v>0</v>
      </c>
      <c r="N983" s="58">
        <f>L983+-M983</f>
        <v>0</v>
      </c>
      <c r="O983" s="19"/>
      <c r="P983" s="19">
        <f t="shared" si="35"/>
        <v>0</v>
      </c>
      <c r="Q983" s="19">
        <f t="shared" si="34"/>
        <v>0</v>
      </c>
    </row>
    <row r="984" spans="2:17" x14ac:dyDescent="0.2">
      <c r="B984" s="21"/>
      <c r="C984" s="22"/>
      <c r="D984" s="23"/>
      <c r="E984" s="24"/>
      <c r="F984" s="24"/>
      <c r="G984" s="24"/>
      <c r="H984" s="24"/>
      <c r="I984" s="24"/>
      <c r="J984" s="24"/>
      <c r="K984" s="24"/>
      <c r="L984" s="58">
        <f>IF(K984&gt;=0,K984,0)</f>
        <v>0</v>
      </c>
      <c r="M984" s="58">
        <f>IF(K984&lt;=0,K984,0)</f>
        <v>0</v>
      </c>
      <c r="N984" s="58">
        <f>L984+-M984</f>
        <v>0</v>
      </c>
      <c r="O984" s="19"/>
      <c r="P984" s="19">
        <f t="shared" si="35"/>
        <v>0</v>
      </c>
      <c r="Q984" s="19">
        <f t="shared" si="34"/>
        <v>0</v>
      </c>
    </row>
    <row r="985" spans="2:17" x14ac:dyDescent="0.2">
      <c r="B985" s="21"/>
      <c r="C985" s="22"/>
      <c r="D985" s="23"/>
      <c r="E985" s="24"/>
      <c r="F985" s="24"/>
      <c r="G985" s="24"/>
      <c r="H985" s="24"/>
      <c r="I985" s="24"/>
      <c r="J985" s="24"/>
      <c r="K985" s="24"/>
      <c r="L985" s="58">
        <f>IF(K985&gt;=0,K985,0)</f>
        <v>0</v>
      </c>
      <c r="M985" s="58">
        <f>IF(K985&lt;=0,K985,0)</f>
        <v>0</v>
      </c>
      <c r="N985" s="58">
        <f>L985+-M985</f>
        <v>0</v>
      </c>
      <c r="O985" s="19"/>
      <c r="P985" s="19">
        <f t="shared" si="35"/>
        <v>0</v>
      </c>
      <c r="Q985" s="19">
        <f t="shared" si="34"/>
        <v>0</v>
      </c>
    </row>
    <row r="986" spans="2:17" x14ac:dyDescent="0.2">
      <c r="B986" s="21"/>
      <c r="C986" s="22"/>
      <c r="D986" s="23"/>
      <c r="E986" s="24"/>
      <c r="F986" s="24"/>
      <c r="G986" s="24"/>
      <c r="H986" s="24"/>
      <c r="I986" s="24"/>
      <c r="J986" s="24"/>
      <c r="K986" s="24"/>
      <c r="L986" s="58">
        <f>IF(K986&gt;=0,K986,0)</f>
        <v>0</v>
      </c>
      <c r="M986" s="58">
        <f>IF(K986&lt;=0,K986,0)</f>
        <v>0</v>
      </c>
      <c r="N986" s="58">
        <f>L986+-M986</f>
        <v>0</v>
      </c>
      <c r="O986" s="19"/>
      <c r="P986" s="19">
        <f t="shared" si="35"/>
        <v>0</v>
      </c>
      <c r="Q986" s="19">
        <f t="shared" si="34"/>
        <v>0</v>
      </c>
    </row>
    <row r="987" spans="2:17" x14ac:dyDescent="0.2">
      <c r="B987" s="21"/>
      <c r="C987" s="22"/>
      <c r="D987" s="23"/>
      <c r="E987" s="24"/>
      <c r="F987" s="24"/>
      <c r="G987" s="24"/>
      <c r="H987" s="24"/>
      <c r="I987" s="24"/>
      <c r="J987" s="24"/>
      <c r="K987" s="24"/>
      <c r="L987" s="58">
        <f>IF(K987&gt;=0,K987,0)</f>
        <v>0</v>
      </c>
      <c r="M987" s="58">
        <f>IF(K987&lt;=0,K987,0)</f>
        <v>0</v>
      </c>
      <c r="N987" s="58">
        <f>L987+-M987</f>
        <v>0</v>
      </c>
      <c r="O987" s="19"/>
      <c r="P987" s="19">
        <f t="shared" si="35"/>
        <v>0</v>
      </c>
      <c r="Q987" s="19">
        <f t="shared" si="34"/>
        <v>0</v>
      </c>
    </row>
    <row r="988" spans="2:17" x14ac:dyDescent="0.2">
      <c r="B988" s="21"/>
      <c r="C988" s="22"/>
      <c r="D988" s="23"/>
      <c r="E988" s="24"/>
      <c r="F988" s="24"/>
      <c r="G988" s="24"/>
      <c r="H988" s="24"/>
      <c r="I988" s="24"/>
      <c r="J988" s="24"/>
      <c r="K988" s="24"/>
      <c r="L988" s="58">
        <f>IF(K988&gt;=0,K988,0)</f>
        <v>0</v>
      </c>
      <c r="M988" s="58">
        <f>IF(K988&lt;=0,K988,0)</f>
        <v>0</v>
      </c>
      <c r="N988" s="58">
        <f>L988+-M988</f>
        <v>0</v>
      </c>
      <c r="O988" s="19"/>
      <c r="P988" s="19">
        <f t="shared" si="35"/>
        <v>0</v>
      </c>
      <c r="Q988" s="19">
        <f t="shared" si="34"/>
        <v>0</v>
      </c>
    </row>
    <row r="989" spans="2:17" x14ac:dyDescent="0.2">
      <c r="B989" s="21"/>
      <c r="C989" s="22"/>
      <c r="D989" s="23"/>
      <c r="E989" s="24"/>
      <c r="F989" s="24"/>
      <c r="G989" s="24"/>
      <c r="H989" s="24"/>
      <c r="I989" s="24"/>
      <c r="J989" s="24"/>
      <c r="K989" s="24"/>
      <c r="L989" s="58">
        <f>IF(K989&gt;=0,K989,0)</f>
        <v>0</v>
      </c>
      <c r="M989" s="58">
        <f>IF(K989&lt;=0,K989,0)</f>
        <v>0</v>
      </c>
      <c r="N989" s="58">
        <f>L989+-M989</f>
        <v>0</v>
      </c>
      <c r="O989" s="19"/>
      <c r="P989" s="19">
        <f t="shared" si="35"/>
        <v>0</v>
      </c>
      <c r="Q989" s="19">
        <f t="shared" si="34"/>
        <v>0</v>
      </c>
    </row>
    <row r="990" spans="2:17" x14ac:dyDescent="0.2">
      <c r="B990" s="21"/>
      <c r="C990" s="22"/>
      <c r="D990" s="23"/>
      <c r="E990" s="24"/>
      <c r="F990" s="24"/>
      <c r="G990" s="24"/>
      <c r="H990" s="24"/>
      <c r="I990" s="24"/>
      <c r="J990" s="24"/>
      <c r="K990" s="24"/>
      <c r="L990" s="58">
        <f>IF(K990&gt;=0,K990,0)</f>
        <v>0</v>
      </c>
      <c r="M990" s="58">
        <f>IF(K990&lt;=0,K990,0)</f>
        <v>0</v>
      </c>
      <c r="N990" s="58">
        <f>L990+-M990</f>
        <v>0</v>
      </c>
      <c r="O990" s="19"/>
      <c r="P990" s="19">
        <f t="shared" si="35"/>
        <v>0</v>
      </c>
      <c r="Q990" s="19">
        <f t="shared" si="34"/>
        <v>0</v>
      </c>
    </row>
    <row r="991" spans="2:17" x14ac:dyDescent="0.2">
      <c r="B991" s="21"/>
      <c r="C991" s="22"/>
      <c r="D991" s="23"/>
      <c r="E991" s="24"/>
      <c r="F991" s="24"/>
      <c r="G991" s="24"/>
      <c r="H991" s="24"/>
      <c r="I991" s="24"/>
      <c r="J991" s="24"/>
      <c r="K991" s="24"/>
      <c r="L991" s="58">
        <f>IF(K991&gt;=0,K991,0)</f>
        <v>0</v>
      </c>
      <c r="M991" s="58">
        <f>IF(K991&lt;=0,K991,0)</f>
        <v>0</v>
      </c>
      <c r="N991" s="58">
        <f>L991+-M991</f>
        <v>0</v>
      </c>
      <c r="O991" s="19"/>
      <c r="P991" s="19">
        <f t="shared" si="35"/>
        <v>0</v>
      </c>
      <c r="Q991" s="19">
        <f t="shared" si="34"/>
        <v>0</v>
      </c>
    </row>
    <row r="992" spans="2:17" x14ac:dyDescent="0.2">
      <c r="B992" s="21"/>
      <c r="C992" s="22"/>
      <c r="D992" s="23"/>
      <c r="E992" s="24"/>
      <c r="F992" s="24"/>
      <c r="G992" s="24"/>
      <c r="H992" s="24"/>
      <c r="I992" s="24"/>
      <c r="J992" s="24"/>
      <c r="K992" s="24"/>
      <c r="L992" s="58">
        <f>IF(K992&gt;=0,K992,0)</f>
        <v>0</v>
      </c>
      <c r="M992" s="58">
        <f>IF(K992&lt;=0,K992,0)</f>
        <v>0</v>
      </c>
      <c r="N992" s="58">
        <f>L992+-M992</f>
        <v>0</v>
      </c>
      <c r="O992" s="19"/>
      <c r="P992" s="19">
        <f t="shared" si="35"/>
        <v>0</v>
      </c>
      <c r="Q992" s="19">
        <f t="shared" si="34"/>
        <v>0</v>
      </c>
    </row>
    <row r="993" spans="2:17" x14ac:dyDescent="0.2">
      <c r="B993" s="21"/>
      <c r="C993" s="22"/>
      <c r="D993" s="23"/>
      <c r="E993" s="24"/>
      <c r="F993" s="24"/>
      <c r="G993" s="24"/>
      <c r="H993" s="24"/>
      <c r="I993" s="24"/>
      <c r="J993" s="24"/>
      <c r="K993" s="24"/>
      <c r="L993" s="58">
        <f>IF(K993&gt;=0,K993,0)</f>
        <v>0</v>
      </c>
      <c r="M993" s="58">
        <f>IF(K993&lt;=0,K993,0)</f>
        <v>0</v>
      </c>
      <c r="N993" s="58">
        <f>L993+-M993</f>
        <v>0</v>
      </c>
      <c r="O993" s="19"/>
      <c r="P993" s="19">
        <f t="shared" si="35"/>
        <v>0</v>
      </c>
      <c r="Q993" s="19">
        <f t="shared" si="34"/>
        <v>0</v>
      </c>
    </row>
    <row r="994" spans="2:17" x14ac:dyDescent="0.2">
      <c r="B994" s="21"/>
      <c r="C994" s="22"/>
      <c r="D994" s="23"/>
      <c r="E994" s="24"/>
      <c r="F994" s="24"/>
      <c r="G994" s="24"/>
      <c r="H994" s="24"/>
      <c r="I994" s="24"/>
      <c r="J994" s="24"/>
      <c r="K994" s="24"/>
      <c r="L994" s="58">
        <f>IF(K994&gt;=0,K994,0)</f>
        <v>0</v>
      </c>
      <c r="M994" s="58">
        <f>IF(K994&lt;=0,K994,0)</f>
        <v>0</v>
      </c>
      <c r="N994" s="58">
        <f>L994+-M994</f>
        <v>0</v>
      </c>
      <c r="O994" s="19"/>
      <c r="P994" s="19">
        <f t="shared" si="35"/>
        <v>0</v>
      </c>
      <c r="Q994" s="19">
        <f t="shared" si="34"/>
        <v>0</v>
      </c>
    </row>
    <row r="995" spans="2:17" x14ac:dyDescent="0.2">
      <c r="B995" s="21"/>
      <c r="C995" s="22"/>
      <c r="D995" s="23"/>
      <c r="E995" s="24"/>
      <c r="F995" s="24"/>
      <c r="G995" s="24"/>
      <c r="H995" s="24"/>
      <c r="I995" s="24"/>
      <c r="J995" s="24"/>
      <c r="K995" s="24"/>
      <c r="L995" s="58">
        <f>IF(K995&gt;=0,K995,0)</f>
        <v>0</v>
      </c>
      <c r="M995" s="58">
        <f>IF(K995&lt;=0,K995,0)</f>
        <v>0</v>
      </c>
      <c r="N995" s="58">
        <f>L995+-M995</f>
        <v>0</v>
      </c>
      <c r="O995" s="19"/>
      <c r="P995" s="19">
        <f t="shared" si="35"/>
        <v>0</v>
      </c>
      <c r="Q995" s="19">
        <f t="shared" si="34"/>
        <v>0</v>
      </c>
    </row>
    <row r="996" spans="2:17" x14ac:dyDescent="0.2">
      <c r="B996" s="21"/>
      <c r="C996" s="22"/>
      <c r="D996" s="23"/>
      <c r="E996" s="24"/>
      <c r="F996" s="24"/>
      <c r="G996" s="24"/>
      <c r="H996" s="24"/>
      <c r="I996" s="24"/>
      <c r="J996" s="24"/>
      <c r="K996" s="24"/>
      <c r="L996" s="58">
        <f>IF(K996&gt;=0,K996,0)</f>
        <v>0</v>
      </c>
      <c r="M996" s="58">
        <f>IF(K996&lt;=0,K996,0)</f>
        <v>0</v>
      </c>
      <c r="N996" s="58">
        <f>L996+-M996</f>
        <v>0</v>
      </c>
      <c r="O996" s="19"/>
      <c r="P996" s="19">
        <f t="shared" si="35"/>
        <v>0</v>
      </c>
      <c r="Q996" s="19">
        <f t="shared" si="34"/>
        <v>0</v>
      </c>
    </row>
    <row r="997" spans="2:17" x14ac:dyDescent="0.2">
      <c r="B997" s="21"/>
      <c r="C997" s="22"/>
      <c r="D997" s="23"/>
      <c r="E997" s="24"/>
      <c r="F997" s="24"/>
      <c r="G997" s="24"/>
      <c r="H997" s="24"/>
      <c r="I997" s="24"/>
      <c r="J997" s="24"/>
      <c r="K997" s="24"/>
      <c r="L997" s="58">
        <f>IF(K997&gt;=0,K997,0)</f>
        <v>0</v>
      </c>
      <c r="M997" s="58">
        <f>IF(K997&lt;=0,K997,0)</f>
        <v>0</v>
      </c>
      <c r="N997" s="58">
        <f>L997+-M997</f>
        <v>0</v>
      </c>
      <c r="O997" s="19"/>
      <c r="P997" s="19">
        <f t="shared" si="35"/>
        <v>0</v>
      </c>
      <c r="Q997" s="19">
        <f t="shared" si="34"/>
        <v>0</v>
      </c>
    </row>
    <row r="998" spans="2:17" x14ac:dyDescent="0.2">
      <c r="B998" s="21"/>
      <c r="C998" s="22"/>
      <c r="D998" s="23"/>
      <c r="E998" s="24"/>
      <c r="F998" s="24"/>
      <c r="G998" s="24"/>
      <c r="H998" s="24"/>
      <c r="I998" s="24"/>
      <c r="J998" s="24"/>
      <c r="K998" s="24"/>
      <c r="L998" s="58">
        <f>IF(K998&gt;=0,K998,0)</f>
        <v>0</v>
      </c>
      <c r="M998" s="58">
        <f>IF(K998&lt;=0,K998,0)</f>
        <v>0</v>
      </c>
      <c r="N998" s="58">
        <f>L998+-M998</f>
        <v>0</v>
      </c>
      <c r="O998" s="19"/>
      <c r="P998" s="19">
        <f t="shared" si="35"/>
        <v>0</v>
      </c>
      <c r="Q998" s="19">
        <f t="shared" si="34"/>
        <v>0</v>
      </c>
    </row>
    <row r="999" spans="2:17" x14ac:dyDescent="0.2">
      <c r="B999" s="21"/>
      <c r="C999" s="22"/>
      <c r="D999" s="23"/>
      <c r="E999" s="24"/>
      <c r="F999" s="24"/>
      <c r="G999" s="24"/>
      <c r="H999" s="24"/>
      <c r="I999" s="24"/>
      <c r="J999" s="24"/>
      <c r="K999" s="24"/>
      <c r="L999" s="58">
        <f>IF(K999&gt;=0,K999,0)</f>
        <v>0</v>
      </c>
      <c r="M999" s="58">
        <f>IF(K999&lt;=0,K999,0)</f>
        <v>0</v>
      </c>
      <c r="N999" s="58">
        <f>L999+-M999</f>
        <v>0</v>
      </c>
      <c r="O999" s="19"/>
      <c r="P999" s="19">
        <f t="shared" si="35"/>
        <v>0</v>
      </c>
      <c r="Q999" s="19">
        <f t="shared" si="34"/>
        <v>0</v>
      </c>
    </row>
    <row r="1000" spans="2:17" x14ac:dyDescent="0.2">
      <c r="B1000" s="21"/>
      <c r="C1000" s="22"/>
      <c r="D1000" s="23"/>
      <c r="E1000" s="24"/>
      <c r="F1000" s="24"/>
      <c r="G1000" s="24"/>
      <c r="H1000" s="24"/>
      <c r="I1000" s="24"/>
      <c r="J1000" s="24"/>
      <c r="K1000" s="24"/>
      <c r="L1000" s="58">
        <f>IF(K1000&gt;=0,K1000,0)</f>
        <v>0</v>
      </c>
      <c r="M1000" s="58">
        <f>IF(K1000&lt;=0,K1000,0)</f>
        <v>0</v>
      </c>
      <c r="N1000" s="58">
        <f>L1000+-M1000</f>
        <v>0</v>
      </c>
      <c r="O1000" s="19"/>
      <c r="P1000" s="19">
        <f t="shared" si="35"/>
        <v>0</v>
      </c>
      <c r="Q1000" s="19">
        <f t="shared" si="34"/>
        <v>0</v>
      </c>
    </row>
    <row r="1001" spans="2:17" x14ac:dyDescent="0.2">
      <c r="B1001" s="21"/>
      <c r="C1001" s="22"/>
      <c r="D1001" s="23"/>
      <c r="E1001" s="24"/>
      <c r="F1001" s="24"/>
      <c r="G1001" s="24"/>
      <c r="H1001" s="24"/>
      <c r="I1001" s="24"/>
      <c r="J1001" s="24"/>
      <c r="K1001" s="24"/>
      <c r="L1001" s="58">
        <f>IF(K1001&gt;=0,K1001,0)</f>
        <v>0</v>
      </c>
      <c r="M1001" s="58">
        <f>IF(K1001&lt;=0,K1001,0)</f>
        <v>0</v>
      </c>
      <c r="N1001" s="58">
        <f>L1001+-M1001</f>
        <v>0</v>
      </c>
      <c r="O1001" s="19"/>
      <c r="P1001" s="19">
        <f t="shared" si="35"/>
        <v>0</v>
      </c>
      <c r="Q1001" s="19">
        <f t="shared" si="34"/>
        <v>0</v>
      </c>
    </row>
    <row r="1002" spans="2:17" x14ac:dyDescent="0.2">
      <c r="B1002" s="21"/>
      <c r="C1002" s="22"/>
      <c r="D1002" s="23"/>
      <c r="E1002" s="24"/>
      <c r="F1002" s="24"/>
      <c r="G1002" s="24"/>
      <c r="H1002" s="24"/>
      <c r="I1002" s="24"/>
      <c r="J1002" s="24"/>
      <c r="K1002" s="24"/>
      <c r="L1002" s="58">
        <f>IF(K1002&gt;=0,K1002,0)</f>
        <v>0</v>
      </c>
      <c r="M1002" s="58">
        <f>IF(K1002&lt;=0,K1002,0)</f>
        <v>0</v>
      </c>
      <c r="N1002" s="58">
        <f>L1002+-M1002</f>
        <v>0</v>
      </c>
      <c r="O1002" s="19"/>
      <c r="P1002" s="19">
        <f t="shared" si="35"/>
        <v>0</v>
      </c>
      <c r="Q1002" s="19">
        <f t="shared" si="34"/>
        <v>0</v>
      </c>
    </row>
    <row r="1003" spans="2:17" x14ac:dyDescent="0.2">
      <c r="B1003" s="21"/>
      <c r="C1003" s="22"/>
      <c r="D1003" s="23"/>
      <c r="E1003" s="24"/>
      <c r="F1003" s="24"/>
      <c r="G1003" s="24"/>
      <c r="H1003" s="24"/>
      <c r="I1003" s="24"/>
      <c r="J1003" s="24"/>
      <c r="K1003" s="24"/>
      <c r="L1003" s="58">
        <f>IF(K1003&gt;=0,K1003,0)</f>
        <v>0</v>
      </c>
      <c r="M1003" s="58">
        <f>IF(K1003&lt;=0,K1003,0)</f>
        <v>0</v>
      </c>
      <c r="N1003" s="58">
        <f>L1003+-M1003</f>
        <v>0</v>
      </c>
      <c r="O1003" s="19"/>
      <c r="P1003" s="19">
        <f t="shared" si="35"/>
        <v>0</v>
      </c>
      <c r="Q1003" s="19">
        <f t="shared" si="34"/>
        <v>0</v>
      </c>
    </row>
    <row r="1004" spans="2:17" x14ac:dyDescent="0.2">
      <c r="B1004" s="21"/>
      <c r="C1004" s="22"/>
      <c r="D1004" s="23"/>
      <c r="E1004" s="24"/>
      <c r="F1004" s="24"/>
      <c r="G1004" s="24"/>
      <c r="H1004" s="24"/>
      <c r="I1004" s="24"/>
      <c r="J1004" s="24"/>
      <c r="K1004" s="24"/>
      <c r="L1004" s="58">
        <f>IF(K1004&gt;=0,K1004,0)</f>
        <v>0</v>
      </c>
      <c r="M1004" s="58">
        <f>IF(K1004&lt;=0,K1004,0)</f>
        <v>0</v>
      </c>
      <c r="N1004" s="58">
        <f>L1004+-M1004</f>
        <v>0</v>
      </c>
      <c r="O1004" s="19"/>
      <c r="P1004" s="19">
        <f t="shared" si="35"/>
        <v>0</v>
      </c>
      <c r="Q1004" s="19">
        <f t="shared" si="34"/>
        <v>0</v>
      </c>
    </row>
    <row r="1005" spans="2:17" x14ac:dyDescent="0.2">
      <c r="B1005" s="21"/>
      <c r="C1005" s="22"/>
      <c r="D1005" s="23"/>
      <c r="E1005" s="24"/>
      <c r="F1005" s="24"/>
      <c r="G1005" s="24"/>
      <c r="H1005" s="24"/>
      <c r="I1005" s="24"/>
      <c r="J1005" s="24"/>
      <c r="K1005" s="24"/>
      <c r="L1005" s="58">
        <f>IF(K1005&gt;=0,K1005,0)</f>
        <v>0</v>
      </c>
      <c r="M1005" s="58">
        <f>IF(K1005&lt;=0,K1005,0)</f>
        <v>0</v>
      </c>
      <c r="N1005" s="58">
        <f>L1005+-M1005</f>
        <v>0</v>
      </c>
      <c r="O1005" s="19"/>
      <c r="P1005" s="19">
        <f t="shared" si="35"/>
        <v>0</v>
      </c>
      <c r="Q1005" s="19">
        <f t="shared" si="34"/>
        <v>0</v>
      </c>
    </row>
    <row r="1006" spans="2:17" x14ac:dyDescent="0.2">
      <c r="B1006" s="21"/>
      <c r="C1006" s="22"/>
      <c r="D1006" s="23"/>
      <c r="E1006" s="24"/>
      <c r="F1006" s="24"/>
      <c r="G1006" s="24"/>
      <c r="H1006" s="24"/>
      <c r="I1006" s="24"/>
      <c r="J1006" s="24"/>
      <c r="K1006" s="24"/>
      <c r="L1006" s="58">
        <f>IF(K1006&gt;=0,K1006,0)</f>
        <v>0</v>
      </c>
      <c r="M1006" s="58">
        <f>IF(K1006&lt;=0,K1006,0)</f>
        <v>0</v>
      </c>
      <c r="N1006" s="58">
        <f>L1006+-M1006</f>
        <v>0</v>
      </c>
      <c r="O1006" s="19"/>
      <c r="P1006" s="19">
        <f t="shared" si="35"/>
        <v>0</v>
      </c>
      <c r="Q1006" s="19">
        <f t="shared" si="34"/>
        <v>0</v>
      </c>
    </row>
    <row r="1007" spans="2:17" x14ac:dyDescent="0.2">
      <c r="B1007" s="21"/>
      <c r="C1007" s="22"/>
      <c r="D1007" s="23"/>
      <c r="E1007" s="24"/>
      <c r="F1007" s="24"/>
      <c r="G1007" s="24"/>
      <c r="H1007" s="24"/>
      <c r="I1007" s="24"/>
      <c r="J1007" s="24"/>
      <c r="K1007" s="24"/>
      <c r="L1007" s="58">
        <f>IF(K1007&gt;=0,K1007,0)</f>
        <v>0</v>
      </c>
      <c r="M1007" s="58">
        <f>IF(K1007&lt;=0,K1007,0)</f>
        <v>0</v>
      </c>
      <c r="N1007" s="58">
        <f>L1007+-M1007</f>
        <v>0</v>
      </c>
      <c r="O1007" s="19"/>
      <c r="P1007" s="19">
        <f t="shared" si="35"/>
        <v>0</v>
      </c>
      <c r="Q1007" s="19">
        <f t="shared" si="34"/>
        <v>0</v>
      </c>
    </row>
    <row r="1008" spans="2:17" x14ac:dyDescent="0.2">
      <c r="B1008" s="21"/>
      <c r="C1008" s="22"/>
      <c r="D1008" s="23"/>
      <c r="E1008" s="24"/>
      <c r="F1008" s="24"/>
      <c r="G1008" s="24"/>
      <c r="H1008" s="24"/>
      <c r="I1008" s="24"/>
      <c r="J1008" s="24"/>
      <c r="K1008" s="24"/>
      <c r="L1008" s="58">
        <f>IF(K1008&gt;=0,K1008,0)</f>
        <v>0</v>
      </c>
      <c r="M1008" s="58">
        <f>IF(K1008&lt;=0,K1008,0)</f>
        <v>0</v>
      </c>
      <c r="N1008" s="58">
        <f>L1008+-M1008</f>
        <v>0</v>
      </c>
      <c r="O1008" s="19"/>
      <c r="P1008" s="19">
        <f t="shared" si="35"/>
        <v>0</v>
      </c>
      <c r="Q1008" s="19">
        <f t="shared" si="34"/>
        <v>0</v>
      </c>
    </row>
    <row r="1009" spans="2:17" x14ac:dyDescent="0.2">
      <c r="B1009" s="21"/>
      <c r="C1009" s="22"/>
      <c r="D1009" s="23"/>
      <c r="E1009" s="24"/>
      <c r="F1009" s="24"/>
      <c r="G1009" s="24"/>
      <c r="H1009" s="24"/>
      <c r="I1009" s="24"/>
      <c r="J1009" s="24"/>
      <c r="K1009" s="24"/>
      <c r="L1009" s="58">
        <f>IF(K1009&gt;=0,K1009,0)</f>
        <v>0</v>
      </c>
      <c r="M1009" s="58">
        <f>IF(K1009&lt;=0,K1009,0)</f>
        <v>0</v>
      </c>
      <c r="N1009" s="58">
        <f>L1009+-M1009</f>
        <v>0</v>
      </c>
      <c r="O1009" s="19"/>
      <c r="P1009" s="19">
        <f t="shared" si="35"/>
        <v>0</v>
      </c>
      <c r="Q1009" s="19">
        <f t="shared" si="34"/>
        <v>0</v>
      </c>
    </row>
    <row r="1010" spans="2:17" x14ac:dyDescent="0.2">
      <c r="B1010" s="21"/>
      <c r="C1010" s="22"/>
      <c r="D1010" s="23"/>
      <c r="E1010" s="24"/>
      <c r="F1010" s="24"/>
      <c r="G1010" s="24"/>
      <c r="H1010" s="24"/>
      <c r="I1010" s="24"/>
      <c r="J1010" s="24"/>
      <c r="K1010" s="24"/>
      <c r="L1010" s="58">
        <f>IF(K1010&gt;=0,K1010,0)</f>
        <v>0</v>
      </c>
      <c r="M1010" s="58">
        <f>IF(K1010&lt;=0,K1010,0)</f>
        <v>0</v>
      </c>
      <c r="N1010" s="58">
        <f>L1010+-M1010</f>
        <v>0</v>
      </c>
      <c r="O1010" s="19"/>
      <c r="P1010" s="19">
        <f t="shared" si="35"/>
        <v>0</v>
      </c>
      <c r="Q1010" s="19">
        <f t="shared" si="34"/>
        <v>0</v>
      </c>
    </row>
    <row r="1011" spans="2:17" x14ac:dyDescent="0.2">
      <c r="B1011" s="21"/>
      <c r="C1011" s="22"/>
      <c r="D1011" s="23"/>
      <c r="E1011" s="24"/>
      <c r="F1011" s="24"/>
      <c r="G1011" s="24"/>
      <c r="H1011" s="24"/>
      <c r="I1011" s="24"/>
      <c r="J1011" s="24"/>
      <c r="K1011" s="24"/>
      <c r="L1011" s="58">
        <f>IF(K1011&gt;=0,K1011,0)</f>
        <v>0</v>
      </c>
      <c r="M1011" s="58">
        <f>IF(K1011&lt;=0,K1011,0)</f>
        <v>0</v>
      </c>
      <c r="N1011" s="58">
        <f>L1011+-M1011</f>
        <v>0</v>
      </c>
      <c r="O1011" s="19"/>
      <c r="P1011" s="19">
        <f t="shared" si="35"/>
        <v>0</v>
      </c>
      <c r="Q1011" s="19">
        <f t="shared" si="34"/>
        <v>0</v>
      </c>
    </row>
    <row r="1012" spans="2:17" x14ac:dyDescent="0.2">
      <c r="B1012" s="21"/>
      <c r="C1012" s="22"/>
      <c r="D1012" s="23"/>
      <c r="E1012" s="24"/>
      <c r="F1012" s="24"/>
      <c r="G1012" s="24"/>
      <c r="H1012" s="24"/>
      <c r="I1012" s="24"/>
      <c r="J1012" s="24"/>
      <c r="K1012" s="24"/>
      <c r="L1012" s="58">
        <f>IF(K1012&gt;=0,K1012,0)</f>
        <v>0</v>
      </c>
      <c r="M1012" s="58">
        <f>IF(K1012&lt;=0,K1012,0)</f>
        <v>0</v>
      </c>
      <c r="N1012" s="58">
        <f>L1012+-M1012</f>
        <v>0</v>
      </c>
      <c r="O1012" s="19"/>
      <c r="P1012" s="19">
        <f t="shared" si="35"/>
        <v>0</v>
      </c>
      <c r="Q1012" s="19">
        <f t="shared" si="34"/>
        <v>0</v>
      </c>
    </row>
    <row r="1013" spans="2:17" x14ac:dyDescent="0.2">
      <c r="B1013" s="21"/>
      <c r="C1013" s="22"/>
      <c r="D1013" s="23"/>
      <c r="E1013" s="24"/>
      <c r="F1013" s="24"/>
      <c r="G1013" s="24"/>
      <c r="H1013" s="24"/>
      <c r="I1013" s="24"/>
      <c r="J1013" s="24"/>
      <c r="K1013" s="24"/>
      <c r="L1013" s="58">
        <f>IF(K1013&gt;=0,K1013,0)</f>
        <v>0</v>
      </c>
      <c r="M1013" s="58">
        <f>IF(K1013&lt;=0,K1013,0)</f>
        <v>0</v>
      </c>
      <c r="N1013" s="58">
        <f>L1013+-M1013</f>
        <v>0</v>
      </c>
      <c r="O1013" s="19"/>
      <c r="P1013" s="19">
        <f t="shared" si="35"/>
        <v>0</v>
      </c>
      <c r="Q1013" s="19">
        <f t="shared" si="34"/>
        <v>0</v>
      </c>
    </row>
    <row r="1014" spans="2:17" x14ac:dyDescent="0.2">
      <c r="B1014" s="21"/>
      <c r="C1014" s="22"/>
      <c r="D1014" s="23"/>
      <c r="E1014" s="24"/>
      <c r="F1014" s="24"/>
      <c r="G1014" s="24"/>
      <c r="H1014" s="24"/>
      <c r="I1014" s="24"/>
      <c r="J1014" s="24"/>
      <c r="K1014" s="24"/>
      <c r="L1014" s="58">
        <f>IF(K1014&gt;=0,K1014,0)</f>
        <v>0</v>
      </c>
      <c r="M1014" s="58">
        <f>IF(K1014&lt;=0,K1014,0)</f>
        <v>0</v>
      </c>
      <c r="N1014" s="58">
        <f>L1014+-M1014</f>
        <v>0</v>
      </c>
      <c r="O1014" s="19"/>
      <c r="P1014" s="19">
        <f t="shared" si="35"/>
        <v>0</v>
      </c>
      <c r="Q1014" s="19">
        <f t="shared" si="34"/>
        <v>0</v>
      </c>
    </row>
    <row r="1015" spans="2:17" x14ac:dyDescent="0.2">
      <c r="B1015" s="21"/>
      <c r="C1015" s="22"/>
      <c r="D1015" s="23"/>
      <c r="E1015" s="24"/>
      <c r="F1015" s="24"/>
      <c r="G1015" s="24"/>
      <c r="H1015" s="24"/>
      <c r="I1015" s="24"/>
      <c r="J1015" s="24"/>
      <c r="K1015" s="24"/>
      <c r="L1015" s="58">
        <f>IF(K1015&gt;=0,K1015,0)</f>
        <v>0</v>
      </c>
      <c r="M1015" s="58">
        <f>IF(K1015&lt;=0,K1015,0)</f>
        <v>0</v>
      </c>
      <c r="N1015" s="58">
        <f>L1015+-M1015</f>
        <v>0</v>
      </c>
      <c r="O1015" s="19"/>
      <c r="P1015" s="19">
        <f t="shared" si="35"/>
        <v>0</v>
      </c>
      <c r="Q1015" s="19">
        <f t="shared" si="34"/>
        <v>0</v>
      </c>
    </row>
    <row r="1016" spans="2:17" x14ac:dyDescent="0.2">
      <c r="B1016" s="21"/>
      <c r="C1016" s="22"/>
      <c r="D1016" s="23"/>
      <c r="E1016" s="24"/>
      <c r="F1016" s="24"/>
      <c r="G1016" s="24"/>
      <c r="H1016" s="24"/>
      <c r="I1016" s="24"/>
      <c r="J1016" s="24"/>
      <c r="K1016" s="24"/>
      <c r="L1016" s="58">
        <f>IF(K1016&gt;=0,K1016,0)</f>
        <v>0</v>
      </c>
      <c r="M1016" s="58">
        <f>IF(K1016&lt;=0,K1016,0)</f>
        <v>0</v>
      </c>
      <c r="N1016" s="58">
        <f>L1016+-M1016</f>
        <v>0</v>
      </c>
      <c r="O1016" s="19"/>
      <c r="P1016" s="19">
        <f t="shared" si="35"/>
        <v>0</v>
      </c>
      <c r="Q1016" s="19">
        <f t="shared" si="34"/>
        <v>0</v>
      </c>
    </row>
    <row r="1017" spans="2:17" x14ac:dyDescent="0.2">
      <c r="B1017" s="21"/>
      <c r="C1017" s="22"/>
      <c r="D1017" s="23"/>
      <c r="E1017" s="24"/>
      <c r="F1017" s="24"/>
      <c r="G1017" s="24"/>
      <c r="H1017" s="24"/>
      <c r="I1017" s="24"/>
      <c r="J1017" s="24"/>
      <c r="K1017" s="24"/>
      <c r="L1017" s="58">
        <f>IF(K1017&gt;=0,K1017,0)</f>
        <v>0</v>
      </c>
      <c r="M1017" s="58">
        <f>IF(K1017&lt;=0,K1017,0)</f>
        <v>0</v>
      </c>
      <c r="N1017" s="58">
        <f>L1017+-M1017</f>
        <v>0</v>
      </c>
      <c r="O1017" s="19"/>
      <c r="P1017" s="19">
        <f t="shared" si="35"/>
        <v>0</v>
      </c>
      <c r="Q1017" s="19">
        <f t="shared" si="34"/>
        <v>0</v>
      </c>
    </row>
    <row r="1018" spans="2:17" x14ac:dyDescent="0.2">
      <c r="B1018" s="21"/>
      <c r="C1018" s="22"/>
      <c r="D1018" s="23"/>
      <c r="E1018" s="24"/>
      <c r="F1018" s="24"/>
      <c r="G1018" s="24"/>
      <c r="H1018" s="24"/>
      <c r="I1018" s="24"/>
      <c r="J1018" s="24"/>
      <c r="K1018" s="24"/>
      <c r="L1018" s="58">
        <f>IF(K1018&gt;=0,K1018,0)</f>
        <v>0</v>
      </c>
      <c r="M1018" s="58">
        <f>IF(K1018&lt;=0,K1018,0)</f>
        <v>0</v>
      </c>
      <c r="N1018" s="58">
        <f>L1018+-M1018</f>
        <v>0</v>
      </c>
      <c r="O1018" s="19"/>
      <c r="P1018" s="19">
        <f t="shared" si="35"/>
        <v>0</v>
      </c>
      <c r="Q1018" s="19">
        <f t="shared" si="34"/>
        <v>0</v>
      </c>
    </row>
    <row r="1019" spans="2:17" x14ac:dyDescent="0.2">
      <c r="B1019" s="21"/>
      <c r="C1019" s="22"/>
      <c r="D1019" s="23"/>
      <c r="E1019" s="24"/>
      <c r="F1019" s="24"/>
      <c r="G1019" s="24"/>
      <c r="H1019" s="24"/>
      <c r="I1019" s="24"/>
      <c r="J1019" s="24"/>
      <c r="K1019" s="24"/>
      <c r="L1019" s="58">
        <f>IF(K1019&gt;=0,K1019,0)</f>
        <v>0</v>
      </c>
      <c r="M1019" s="58">
        <f>IF(K1019&lt;=0,K1019,0)</f>
        <v>0</v>
      </c>
      <c r="N1019" s="58">
        <f>L1019+-M1019</f>
        <v>0</v>
      </c>
      <c r="O1019" s="19"/>
      <c r="P1019" s="19">
        <f t="shared" si="35"/>
        <v>0</v>
      </c>
      <c r="Q1019" s="19">
        <f t="shared" si="34"/>
        <v>0</v>
      </c>
    </row>
    <row r="1020" spans="2:17" x14ac:dyDescent="0.2">
      <c r="B1020" s="21"/>
      <c r="C1020" s="22"/>
      <c r="D1020" s="23"/>
      <c r="E1020" s="24"/>
      <c r="F1020" s="24"/>
      <c r="G1020" s="24"/>
      <c r="H1020" s="24"/>
      <c r="I1020" s="24"/>
      <c r="J1020" s="24"/>
      <c r="K1020" s="24"/>
      <c r="L1020" s="58">
        <f>IF(K1020&gt;=0,K1020,0)</f>
        <v>0</v>
      </c>
      <c r="M1020" s="58">
        <f>IF(K1020&lt;=0,K1020,0)</f>
        <v>0</v>
      </c>
      <c r="N1020" s="58">
        <f>L1020+-M1020</f>
        <v>0</v>
      </c>
      <c r="O1020" s="19"/>
      <c r="P1020" s="19">
        <f t="shared" si="35"/>
        <v>0</v>
      </c>
      <c r="Q1020" s="19">
        <f t="shared" ref="Q1020:Q1052" si="36">P1020+Q1019</f>
        <v>0</v>
      </c>
    </row>
    <row r="1021" spans="2:17" x14ac:dyDescent="0.2">
      <c r="B1021" s="21"/>
      <c r="C1021" s="22"/>
      <c r="D1021" s="23"/>
      <c r="E1021" s="24"/>
      <c r="F1021" s="24"/>
      <c r="G1021" s="24"/>
      <c r="H1021" s="24"/>
      <c r="I1021" s="24"/>
      <c r="J1021" s="24"/>
      <c r="K1021" s="24"/>
      <c r="L1021" s="58">
        <f>IF(K1021&gt;=0,K1021,0)</f>
        <v>0</v>
      </c>
      <c r="M1021" s="58">
        <f>IF(K1021&lt;=0,K1021,0)</f>
        <v>0</v>
      </c>
      <c r="N1021" s="58">
        <f>L1021+-M1021</f>
        <v>0</v>
      </c>
      <c r="O1021" s="19"/>
      <c r="P1021" s="19">
        <f t="shared" si="35"/>
        <v>0</v>
      </c>
      <c r="Q1021" s="19">
        <f t="shared" si="36"/>
        <v>0</v>
      </c>
    </row>
    <row r="1022" spans="2:17" x14ac:dyDescent="0.2">
      <c r="B1022" s="21"/>
      <c r="C1022" s="22"/>
      <c r="D1022" s="23"/>
      <c r="E1022" s="24"/>
      <c r="F1022" s="24"/>
      <c r="G1022" s="24"/>
      <c r="H1022" s="24"/>
      <c r="I1022" s="24"/>
      <c r="J1022" s="24"/>
      <c r="K1022" s="24"/>
      <c r="L1022" s="58">
        <f>IF(K1022&gt;=0,K1022,0)</f>
        <v>0</v>
      </c>
      <c r="M1022" s="58">
        <f>IF(K1022&lt;=0,K1022,0)</f>
        <v>0</v>
      </c>
      <c r="N1022" s="58">
        <f>L1022+-M1022</f>
        <v>0</v>
      </c>
      <c r="O1022" s="19"/>
      <c r="P1022" s="19">
        <f t="shared" si="35"/>
        <v>0</v>
      </c>
      <c r="Q1022" s="19">
        <f t="shared" si="36"/>
        <v>0</v>
      </c>
    </row>
    <row r="1023" spans="2:17" x14ac:dyDescent="0.2">
      <c r="B1023" s="21"/>
      <c r="C1023" s="22"/>
      <c r="D1023" s="23"/>
      <c r="E1023" s="24"/>
      <c r="F1023" s="24"/>
      <c r="G1023" s="24"/>
      <c r="H1023" s="24"/>
      <c r="I1023" s="24"/>
      <c r="J1023" s="24"/>
      <c r="K1023" s="24"/>
      <c r="L1023" s="58">
        <f>IF(K1023&gt;=0,K1023,0)</f>
        <v>0</v>
      </c>
      <c r="M1023" s="58">
        <f>IF(K1023&lt;=0,K1023,0)</f>
        <v>0</v>
      </c>
      <c r="N1023" s="58">
        <f>L1023+-M1023</f>
        <v>0</v>
      </c>
      <c r="O1023" s="19"/>
      <c r="P1023" s="19">
        <f t="shared" si="35"/>
        <v>0</v>
      </c>
      <c r="Q1023" s="19">
        <f t="shared" si="36"/>
        <v>0</v>
      </c>
    </row>
    <row r="1024" spans="2:17" x14ac:dyDescent="0.2">
      <c r="B1024" s="21"/>
      <c r="C1024" s="22"/>
      <c r="D1024" s="23"/>
      <c r="E1024" s="24"/>
      <c r="F1024" s="24"/>
      <c r="G1024" s="24"/>
      <c r="H1024" s="24"/>
      <c r="I1024" s="24"/>
      <c r="J1024" s="24"/>
      <c r="K1024" s="24"/>
      <c r="L1024" s="58">
        <f>IF(K1024&gt;=0,K1024,0)</f>
        <v>0</v>
      </c>
      <c r="M1024" s="58">
        <f>IF(K1024&lt;=0,K1024,0)</f>
        <v>0</v>
      </c>
      <c r="N1024" s="58">
        <f>L1024+-M1024</f>
        <v>0</v>
      </c>
      <c r="O1024" s="19"/>
      <c r="P1024" s="19">
        <f t="shared" si="35"/>
        <v>0</v>
      </c>
      <c r="Q1024" s="19">
        <f t="shared" si="36"/>
        <v>0</v>
      </c>
    </row>
    <row r="1025" spans="2:17" x14ac:dyDescent="0.2">
      <c r="B1025" s="21"/>
      <c r="C1025" s="22"/>
      <c r="D1025" s="23"/>
      <c r="E1025" s="24"/>
      <c r="F1025" s="24"/>
      <c r="G1025" s="24"/>
      <c r="H1025" s="24"/>
      <c r="I1025" s="24"/>
      <c r="J1025" s="24"/>
      <c r="K1025" s="24"/>
      <c r="L1025" s="58">
        <f>IF(K1025&gt;=0,K1025,0)</f>
        <v>0</v>
      </c>
      <c r="M1025" s="58">
        <f>IF(K1025&lt;=0,K1025,0)</f>
        <v>0</v>
      </c>
      <c r="N1025" s="58">
        <f>L1025+-M1025</f>
        <v>0</v>
      </c>
      <c r="O1025" s="19"/>
      <c r="P1025" s="19">
        <f t="shared" si="35"/>
        <v>0</v>
      </c>
      <c r="Q1025" s="19">
        <f t="shared" si="36"/>
        <v>0</v>
      </c>
    </row>
    <row r="1026" spans="2:17" x14ac:dyDescent="0.2">
      <c r="B1026" s="21"/>
      <c r="C1026" s="22"/>
      <c r="D1026" s="23"/>
      <c r="E1026" s="24"/>
      <c r="F1026" s="24"/>
      <c r="G1026" s="24"/>
      <c r="H1026" s="24"/>
      <c r="I1026" s="24"/>
      <c r="J1026" s="24"/>
      <c r="K1026" s="24"/>
      <c r="L1026" s="58">
        <f>IF(K1026&gt;=0,K1026,0)</f>
        <v>0</v>
      </c>
      <c r="M1026" s="58">
        <f>IF(K1026&lt;=0,K1026,0)</f>
        <v>0</v>
      </c>
      <c r="N1026" s="58">
        <f>L1026+-M1026</f>
        <v>0</v>
      </c>
      <c r="O1026" s="19"/>
      <c r="P1026" s="19">
        <f t="shared" si="35"/>
        <v>0</v>
      </c>
      <c r="Q1026" s="19">
        <f t="shared" si="36"/>
        <v>0</v>
      </c>
    </row>
    <row r="1027" spans="2:17" x14ac:dyDescent="0.2">
      <c r="B1027" s="21"/>
      <c r="C1027" s="22"/>
      <c r="D1027" s="23"/>
      <c r="E1027" s="24"/>
      <c r="F1027" s="24"/>
      <c r="G1027" s="24"/>
      <c r="H1027" s="24"/>
      <c r="I1027" s="24"/>
      <c r="J1027" s="24"/>
      <c r="K1027" s="24"/>
      <c r="L1027" s="58">
        <f>IF(K1027&gt;=0,K1027,0)</f>
        <v>0</v>
      </c>
      <c r="M1027" s="58">
        <f>IF(K1027&lt;=0,K1027,0)</f>
        <v>0</v>
      </c>
      <c r="N1027" s="58">
        <f>L1027+-M1027</f>
        <v>0</v>
      </c>
      <c r="O1027" s="19"/>
      <c r="P1027" s="19">
        <f t="shared" si="35"/>
        <v>0</v>
      </c>
      <c r="Q1027" s="19">
        <f t="shared" si="36"/>
        <v>0</v>
      </c>
    </row>
    <row r="1028" spans="2:17" x14ac:dyDescent="0.2">
      <c r="B1028" s="21"/>
      <c r="C1028" s="22"/>
      <c r="D1028" s="23"/>
      <c r="E1028" s="24"/>
      <c r="F1028" s="24"/>
      <c r="G1028" s="24"/>
      <c r="H1028" s="24"/>
      <c r="I1028" s="24"/>
      <c r="J1028" s="24"/>
      <c r="K1028" s="24"/>
      <c r="L1028" s="58">
        <f>IF(K1028&gt;=0,K1028,0)</f>
        <v>0</v>
      </c>
      <c r="M1028" s="58">
        <f>IF(K1028&lt;=0,K1028,0)</f>
        <v>0</v>
      </c>
      <c r="N1028" s="58">
        <f>L1028+-M1028</f>
        <v>0</v>
      </c>
      <c r="O1028" s="19"/>
      <c r="P1028" s="19">
        <f t="shared" si="35"/>
        <v>0</v>
      </c>
      <c r="Q1028" s="19">
        <f t="shared" si="36"/>
        <v>0</v>
      </c>
    </row>
    <row r="1029" spans="2:17" x14ac:dyDescent="0.2">
      <c r="B1029" s="21"/>
      <c r="C1029" s="22"/>
      <c r="D1029" s="23"/>
      <c r="E1029" s="24"/>
      <c r="F1029" s="24"/>
      <c r="G1029" s="24"/>
      <c r="H1029" s="24"/>
      <c r="I1029" s="24"/>
      <c r="J1029" s="24"/>
      <c r="K1029" s="24"/>
      <c r="L1029" s="58">
        <f>IF(K1029&gt;=0,K1029,0)</f>
        <v>0</v>
      </c>
      <c r="M1029" s="58">
        <f>IF(K1029&lt;=0,K1029,0)</f>
        <v>0</v>
      </c>
      <c r="N1029" s="58">
        <f>L1029+-M1029</f>
        <v>0</v>
      </c>
      <c r="O1029" s="19"/>
      <c r="P1029" s="19">
        <f t="shared" si="35"/>
        <v>0</v>
      </c>
      <c r="Q1029" s="19">
        <f t="shared" si="36"/>
        <v>0</v>
      </c>
    </row>
    <row r="1030" spans="2:17" x14ac:dyDescent="0.2">
      <c r="B1030" s="21"/>
      <c r="C1030" s="22"/>
      <c r="D1030" s="23"/>
      <c r="E1030" s="24"/>
      <c r="F1030" s="24"/>
      <c r="G1030" s="24"/>
      <c r="H1030" s="24"/>
      <c r="I1030" s="24"/>
      <c r="J1030" s="24"/>
      <c r="K1030" s="24"/>
      <c r="L1030" s="58">
        <f>IF(K1030&gt;=0,K1030,0)</f>
        <v>0</v>
      </c>
      <c r="M1030" s="58">
        <f>IF(K1030&lt;=0,K1030,0)</f>
        <v>0</v>
      </c>
      <c r="N1030" s="58">
        <f>L1030+-M1030</f>
        <v>0</v>
      </c>
      <c r="O1030" s="19"/>
      <c r="P1030" s="19">
        <f t="shared" si="35"/>
        <v>0</v>
      </c>
      <c r="Q1030" s="19">
        <f t="shared" si="36"/>
        <v>0</v>
      </c>
    </row>
    <row r="1031" spans="2:17" x14ac:dyDescent="0.2">
      <c r="B1031" s="21"/>
      <c r="C1031" s="22"/>
      <c r="D1031" s="23"/>
      <c r="E1031" s="24"/>
      <c r="F1031" s="24"/>
      <c r="G1031" s="24"/>
      <c r="H1031" s="24"/>
      <c r="I1031" s="24"/>
      <c r="J1031" s="24"/>
      <c r="K1031" s="24"/>
      <c r="L1031" s="58">
        <f>IF(K1031&gt;=0,K1031,0)</f>
        <v>0</v>
      </c>
      <c r="M1031" s="58">
        <f>IF(K1031&lt;=0,K1031,0)</f>
        <v>0</v>
      </c>
      <c r="N1031" s="58">
        <f>L1031+-M1031</f>
        <v>0</v>
      </c>
      <c r="O1031" s="19"/>
      <c r="P1031" s="19">
        <f t="shared" ref="P1031:P1052" si="37">N1031/$N$1055</f>
        <v>0</v>
      </c>
      <c r="Q1031" s="19">
        <f t="shared" si="36"/>
        <v>0</v>
      </c>
    </row>
    <row r="1032" spans="2:17" x14ac:dyDescent="0.2">
      <c r="B1032" s="21"/>
      <c r="C1032" s="22"/>
      <c r="D1032" s="23"/>
      <c r="E1032" s="24"/>
      <c r="F1032" s="24"/>
      <c r="G1032" s="24"/>
      <c r="H1032" s="24"/>
      <c r="I1032" s="24"/>
      <c r="J1032" s="24"/>
      <c r="K1032" s="24"/>
      <c r="L1032" s="58">
        <f>IF(K1032&gt;=0,K1032,0)</f>
        <v>0</v>
      </c>
      <c r="M1032" s="58">
        <f>IF(K1032&lt;=0,K1032,0)</f>
        <v>0</v>
      </c>
      <c r="N1032" s="58">
        <f>L1032+-M1032</f>
        <v>0</v>
      </c>
      <c r="O1032" s="19"/>
      <c r="P1032" s="19">
        <f t="shared" si="37"/>
        <v>0</v>
      </c>
      <c r="Q1032" s="19">
        <f t="shared" si="36"/>
        <v>0</v>
      </c>
    </row>
    <row r="1033" spans="2:17" x14ac:dyDescent="0.2">
      <c r="B1033" s="21"/>
      <c r="C1033" s="22"/>
      <c r="D1033" s="23"/>
      <c r="E1033" s="24"/>
      <c r="F1033" s="24"/>
      <c r="G1033" s="24"/>
      <c r="H1033" s="24"/>
      <c r="I1033" s="24"/>
      <c r="J1033" s="24"/>
      <c r="K1033" s="24"/>
      <c r="L1033" s="58">
        <f>IF(K1033&gt;=0,K1033,0)</f>
        <v>0</v>
      </c>
      <c r="M1033" s="58">
        <f>IF(K1033&lt;=0,K1033,0)</f>
        <v>0</v>
      </c>
      <c r="N1033" s="58">
        <f>L1033+-M1033</f>
        <v>0</v>
      </c>
      <c r="O1033" s="19"/>
      <c r="P1033" s="19">
        <f t="shared" si="37"/>
        <v>0</v>
      </c>
      <c r="Q1033" s="19">
        <f t="shared" si="36"/>
        <v>0</v>
      </c>
    </row>
    <row r="1034" spans="2:17" x14ac:dyDescent="0.2">
      <c r="B1034" s="21"/>
      <c r="C1034" s="22"/>
      <c r="D1034" s="23"/>
      <c r="E1034" s="24"/>
      <c r="F1034" s="24"/>
      <c r="G1034" s="24"/>
      <c r="H1034" s="24"/>
      <c r="I1034" s="24"/>
      <c r="J1034" s="24"/>
      <c r="K1034" s="24"/>
      <c r="L1034" s="58">
        <f>IF(K1034&gt;=0,K1034,0)</f>
        <v>0</v>
      </c>
      <c r="M1034" s="58">
        <f>IF(K1034&lt;=0,K1034,0)</f>
        <v>0</v>
      </c>
      <c r="N1034" s="58">
        <f>L1034+-M1034</f>
        <v>0</v>
      </c>
      <c r="O1034" s="19"/>
      <c r="P1034" s="19">
        <f t="shared" si="37"/>
        <v>0</v>
      </c>
      <c r="Q1034" s="19">
        <f t="shared" si="36"/>
        <v>0</v>
      </c>
    </row>
    <row r="1035" spans="2:17" x14ac:dyDescent="0.2">
      <c r="B1035" s="21"/>
      <c r="C1035" s="22"/>
      <c r="D1035" s="23"/>
      <c r="E1035" s="24"/>
      <c r="F1035" s="24"/>
      <c r="G1035" s="24"/>
      <c r="H1035" s="24"/>
      <c r="I1035" s="24"/>
      <c r="J1035" s="24"/>
      <c r="K1035" s="24"/>
      <c r="L1035" s="58">
        <f>IF(K1035&gt;=0,K1035,0)</f>
        <v>0</v>
      </c>
      <c r="M1035" s="58">
        <f>IF(K1035&lt;=0,K1035,0)</f>
        <v>0</v>
      </c>
      <c r="N1035" s="58">
        <f>L1035+-M1035</f>
        <v>0</v>
      </c>
      <c r="O1035" s="19"/>
      <c r="P1035" s="19">
        <f t="shared" si="37"/>
        <v>0</v>
      </c>
      <c r="Q1035" s="19">
        <f t="shared" si="36"/>
        <v>0</v>
      </c>
    </row>
    <row r="1036" spans="2:17" x14ac:dyDescent="0.2">
      <c r="B1036" s="21"/>
      <c r="C1036" s="22"/>
      <c r="D1036" s="23"/>
      <c r="E1036" s="24"/>
      <c r="F1036" s="24"/>
      <c r="G1036" s="24"/>
      <c r="H1036" s="24"/>
      <c r="I1036" s="24"/>
      <c r="J1036" s="24"/>
      <c r="K1036" s="24"/>
      <c r="L1036" s="58">
        <f>IF(K1036&gt;=0,K1036,0)</f>
        <v>0</v>
      </c>
      <c r="M1036" s="58">
        <f>IF(K1036&lt;=0,K1036,0)</f>
        <v>0</v>
      </c>
      <c r="N1036" s="58">
        <f>L1036+-M1036</f>
        <v>0</v>
      </c>
      <c r="O1036" s="19"/>
      <c r="P1036" s="19">
        <f t="shared" si="37"/>
        <v>0</v>
      </c>
      <c r="Q1036" s="19">
        <f t="shared" si="36"/>
        <v>0</v>
      </c>
    </row>
    <row r="1037" spans="2:17" x14ac:dyDescent="0.2">
      <c r="B1037" s="21"/>
      <c r="C1037" s="22"/>
      <c r="D1037" s="23"/>
      <c r="E1037" s="24"/>
      <c r="F1037" s="24"/>
      <c r="G1037" s="24"/>
      <c r="H1037" s="24"/>
      <c r="I1037" s="24"/>
      <c r="J1037" s="24"/>
      <c r="K1037" s="24"/>
      <c r="L1037" s="58">
        <f>IF(K1037&gt;=0,K1037,0)</f>
        <v>0</v>
      </c>
      <c r="M1037" s="58">
        <f>IF(K1037&lt;=0,K1037,0)</f>
        <v>0</v>
      </c>
      <c r="N1037" s="58">
        <f>L1037+-M1037</f>
        <v>0</v>
      </c>
      <c r="O1037" s="19"/>
      <c r="P1037" s="19">
        <f t="shared" si="37"/>
        <v>0</v>
      </c>
      <c r="Q1037" s="19">
        <f t="shared" si="36"/>
        <v>0</v>
      </c>
    </row>
    <row r="1038" spans="2:17" x14ac:dyDescent="0.2">
      <c r="B1038" s="21"/>
      <c r="C1038" s="22"/>
      <c r="D1038" s="23"/>
      <c r="E1038" s="24"/>
      <c r="F1038" s="24"/>
      <c r="G1038" s="24"/>
      <c r="H1038" s="24"/>
      <c r="I1038" s="24"/>
      <c r="J1038" s="24"/>
      <c r="K1038" s="24"/>
      <c r="L1038" s="58">
        <f>IF(K1038&gt;=0,K1038,0)</f>
        <v>0</v>
      </c>
      <c r="M1038" s="58">
        <f>IF(K1038&lt;=0,K1038,0)</f>
        <v>0</v>
      </c>
      <c r="N1038" s="58">
        <f>L1038+-M1038</f>
        <v>0</v>
      </c>
      <c r="O1038" s="19"/>
      <c r="P1038" s="19">
        <f t="shared" si="37"/>
        <v>0</v>
      </c>
      <c r="Q1038" s="19">
        <f t="shared" si="36"/>
        <v>0</v>
      </c>
    </row>
    <row r="1039" spans="2:17" x14ac:dyDescent="0.2">
      <c r="B1039" s="21"/>
      <c r="C1039" s="22"/>
      <c r="D1039" s="23"/>
      <c r="E1039" s="24"/>
      <c r="F1039" s="24"/>
      <c r="G1039" s="24"/>
      <c r="H1039" s="24"/>
      <c r="I1039" s="24"/>
      <c r="J1039" s="24"/>
      <c r="K1039" s="24"/>
      <c r="L1039" s="58">
        <f>IF(K1039&gt;=0,K1039,0)</f>
        <v>0</v>
      </c>
      <c r="M1039" s="58">
        <f>IF(K1039&lt;=0,K1039,0)</f>
        <v>0</v>
      </c>
      <c r="N1039" s="58">
        <f>L1039+-M1039</f>
        <v>0</v>
      </c>
      <c r="O1039" s="19"/>
      <c r="P1039" s="19">
        <f t="shared" si="37"/>
        <v>0</v>
      </c>
      <c r="Q1039" s="19">
        <f t="shared" si="36"/>
        <v>0</v>
      </c>
    </row>
    <row r="1040" spans="2:17" x14ac:dyDescent="0.2">
      <c r="B1040" s="21"/>
      <c r="C1040" s="22"/>
      <c r="D1040" s="23"/>
      <c r="E1040" s="24"/>
      <c r="F1040" s="24"/>
      <c r="G1040" s="24"/>
      <c r="H1040" s="24"/>
      <c r="I1040" s="24"/>
      <c r="J1040" s="24"/>
      <c r="K1040" s="24"/>
      <c r="L1040" s="58">
        <f>IF(K1040&gt;=0,K1040,0)</f>
        <v>0</v>
      </c>
      <c r="M1040" s="58">
        <f>IF(K1040&lt;=0,K1040,0)</f>
        <v>0</v>
      </c>
      <c r="N1040" s="58">
        <f>L1040+-M1040</f>
        <v>0</v>
      </c>
      <c r="O1040" s="19"/>
      <c r="P1040" s="19">
        <f t="shared" si="37"/>
        <v>0</v>
      </c>
      <c r="Q1040" s="19">
        <f t="shared" si="36"/>
        <v>0</v>
      </c>
    </row>
    <row r="1041" spans="2:17" x14ac:dyDescent="0.2">
      <c r="B1041" s="21"/>
      <c r="C1041" s="22"/>
      <c r="D1041" s="23"/>
      <c r="E1041" s="24"/>
      <c r="F1041" s="24"/>
      <c r="G1041" s="24"/>
      <c r="H1041" s="24"/>
      <c r="I1041" s="24"/>
      <c r="J1041" s="24"/>
      <c r="K1041" s="24"/>
      <c r="L1041" s="58">
        <f>IF(K1041&gt;=0,K1041,0)</f>
        <v>0</v>
      </c>
      <c r="M1041" s="58">
        <f>IF(K1041&lt;=0,K1041,0)</f>
        <v>0</v>
      </c>
      <c r="N1041" s="58">
        <f>L1041+-M1041</f>
        <v>0</v>
      </c>
      <c r="O1041" s="19"/>
      <c r="P1041" s="19">
        <f t="shared" si="37"/>
        <v>0</v>
      </c>
      <c r="Q1041" s="19">
        <f t="shared" si="36"/>
        <v>0</v>
      </c>
    </row>
    <row r="1042" spans="2:17" x14ac:dyDescent="0.2">
      <c r="B1042" s="21"/>
      <c r="C1042" s="22"/>
      <c r="D1042" s="23"/>
      <c r="E1042" s="24"/>
      <c r="F1042" s="24"/>
      <c r="G1042" s="24"/>
      <c r="H1042" s="24"/>
      <c r="I1042" s="24"/>
      <c r="J1042" s="24"/>
      <c r="K1042" s="24"/>
      <c r="L1042" s="58">
        <f>IF(K1042&gt;=0,K1042,0)</f>
        <v>0</v>
      </c>
      <c r="M1042" s="58">
        <f>IF(K1042&lt;=0,K1042,0)</f>
        <v>0</v>
      </c>
      <c r="N1042" s="58">
        <f>L1042+-M1042</f>
        <v>0</v>
      </c>
      <c r="O1042" s="19"/>
      <c r="P1042" s="19">
        <f t="shared" si="37"/>
        <v>0</v>
      </c>
      <c r="Q1042" s="19">
        <f t="shared" si="36"/>
        <v>0</v>
      </c>
    </row>
    <row r="1043" spans="2:17" x14ac:dyDescent="0.2">
      <c r="B1043" s="21"/>
      <c r="C1043" s="22"/>
      <c r="D1043" s="23"/>
      <c r="E1043" s="24"/>
      <c r="F1043" s="24"/>
      <c r="G1043" s="24"/>
      <c r="H1043" s="24"/>
      <c r="I1043" s="24"/>
      <c r="J1043" s="24"/>
      <c r="K1043" s="24"/>
      <c r="L1043" s="58">
        <f>IF(K1043&gt;=0,K1043,0)</f>
        <v>0</v>
      </c>
      <c r="M1043" s="58">
        <f>IF(K1043&lt;=0,K1043,0)</f>
        <v>0</v>
      </c>
      <c r="N1043" s="58">
        <f>L1043+-M1043</f>
        <v>0</v>
      </c>
      <c r="O1043" s="19"/>
      <c r="P1043" s="19">
        <f t="shared" si="37"/>
        <v>0</v>
      </c>
      <c r="Q1043" s="19">
        <f t="shared" si="36"/>
        <v>0</v>
      </c>
    </row>
    <row r="1044" spans="2:17" x14ac:dyDescent="0.2">
      <c r="B1044" s="21"/>
      <c r="C1044" s="22"/>
      <c r="D1044" s="23"/>
      <c r="E1044" s="24"/>
      <c r="F1044" s="24"/>
      <c r="G1044" s="24"/>
      <c r="H1044" s="24"/>
      <c r="I1044" s="24"/>
      <c r="J1044" s="24"/>
      <c r="K1044" s="24"/>
      <c r="L1044" s="58">
        <f>IF(K1044&gt;=0,K1044,0)</f>
        <v>0</v>
      </c>
      <c r="M1044" s="58">
        <f>IF(K1044&lt;=0,K1044,0)</f>
        <v>0</v>
      </c>
      <c r="N1044" s="58">
        <f>L1044+-M1044</f>
        <v>0</v>
      </c>
      <c r="O1044" s="19"/>
      <c r="P1044" s="19">
        <f t="shared" si="37"/>
        <v>0</v>
      </c>
      <c r="Q1044" s="19">
        <f t="shared" si="36"/>
        <v>0</v>
      </c>
    </row>
    <row r="1045" spans="2:17" x14ac:dyDescent="0.2">
      <c r="B1045" s="21"/>
      <c r="C1045" s="22"/>
      <c r="D1045" s="23"/>
      <c r="E1045" s="24"/>
      <c r="F1045" s="24"/>
      <c r="G1045" s="24"/>
      <c r="H1045" s="24"/>
      <c r="I1045" s="24"/>
      <c r="J1045" s="24"/>
      <c r="K1045" s="24"/>
      <c r="L1045" s="58">
        <f>IF(K1045&gt;=0,K1045,0)</f>
        <v>0</v>
      </c>
      <c r="M1045" s="58">
        <f>IF(K1045&lt;=0,K1045,0)</f>
        <v>0</v>
      </c>
      <c r="N1045" s="58">
        <f>L1045+-M1045</f>
        <v>0</v>
      </c>
      <c r="O1045" s="19"/>
      <c r="P1045" s="19">
        <f t="shared" si="37"/>
        <v>0</v>
      </c>
      <c r="Q1045" s="19">
        <f t="shared" si="36"/>
        <v>0</v>
      </c>
    </row>
    <row r="1046" spans="2:17" x14ac:dyDescent="0.2">
      <c r="B1046" s="21"/>
      <c r="C1046" s="22"/>
      <c r="D1046" s="23"/>
      <c r="E1046" s="24"/>
      <c r="F1046" s="24"/>
      <c r="G1046" s="24"/>
      <c r="H1046" s="24"/>
      <c r="I1046" s="24"/>
      <c r="J1046" s="24"/>
      <c r="K1046" s="24"/>
      <c r="L1046" s="58">
        <f>IF(K1046&gt;=0,K1046,0)</f>
        <v>0</v>
      </c>
      <c r="M1046" s="58">
        <f>IF(K1046&lt;=0,K1046,0)</f>
        <v>0</v>
      </c>
      <c r="N1046" s="58">
        <f>L1046+-M1046</f>
        <v>0</v>
      </c>
      <c r="O1046" s="19"/>
      <c r="P1046" s="19">
        <f t="shared" si="37"/>
        <v>0</v>
      </c>
      <c r="Q1046" s="19">
        <f t="shared" si="36"/>
        <v>0</v>
      </c>
    </row>
    <row r="1047" spans="2:17" x14ac:dyDescent="0.2">
      <c r="B1047" s="21"/>
      <c r="C1047" s="22"/>
      <c r="D1047" s="23"/>
      <c r="E1047" s="24"/>
      <c r="F1047" s="24"/>
      <c r="G1047" s="24"/>
      <c r="H1047" s="24"/>
      <c r="I1047" s="24"/>
      <c r="J1047" s="24"/>
      <c r="K1047" s="24"/>
      <c r="L1047" s="58">
        <f>IF(K1047&gt;=0,K1047,0)</f>
        <v>0</v>
      </c>
      <c r="M1047" s="58">
        <f>IF(K1047&lt;=0,K1047,0)</f>
        <v>0</v>
      </c>
      <c r="N1047" s="58">
        <f>L1047+-M1047</f>
        <v>0</v>
      </c>
      <c r="O1047" s="19"/>
      <c r="P1047" s="19">
        <f t="shared" si="37"/>
        <v>0</v>
      </c>
      <c r="Q1047" s="19">
        <f t="shared" si="36"/>
        <v>0</v>
      </c>
    </row>
    <row r="1048" spans="2:17" x14ac:dyDescent="0.2">
      <c r="B1048" s="21"/>
      <c r="C1048" s="22"/>
      <c r="D1048" s="23"/>
      <c r="E1048" s="24"/>
      <c r="F1048" s="24"/>
      <c r="G1048" s="24"/>
      <c r="H1048" s="24"/>
      <c r="I1048" s="24"/>
      <c r="J1048" s="24"/>
      <c r="K1048" s="24"/>
      <c r="L1048" s="58">
        <f>IF(K1048&gt;=0,K1048,0)</f>
        <v>0</v>
      </c>
      <c r="M1048" s="58">
        <f>IF(K1048&lt;=0,K1048,0)</f>
        <v>0</v>
      </c>
      <c r="N1048" s="58">
        <f>L1048+-M1048</f>
        <v>0</v>
      </c>
      <c r="O1048" s="19"/>
      <c r="P1048" s="19">
        <f t="shared" si="37"/>
        <v>0</v>
      </c>
      <c r="Q1048" s="19">
        <f t="shared" si="36"/>
        <v>0</v>
      </c>
    </row>
    <row r="1049" spans="2:17" x14ac:dyDescent="0.2">
      <c r="B1049" s="21"/>
      <c r="C1049" s="22"/>
      <c r="D1049" s="23"/>
      <c r="E1049" s="24"/>
      <c r="F1049" s="24"/>
      <c r="G1049" s="24"/>
      <c r="H1049" s="24"/>
      <c r="I1049" s="24"/>
      <c r="J1049" s="24"/>
      <c r="K1049" s="24"/>
      <c r="L1049" s="58">
        <f>IF(K1049&gt;=0,K1049,0)</f>
        <v>0</v>
      </c>
      <c r="M1049" s="58">
        <f>IF(K1049&lt;=0,K1049,0)</f>
        <v>0</v>
      </c>
      <c r="N1049" s="58">
        <f>L1049+-M1049</f>
        <v>0</v>
      </c>
      <c r="O1049" s="19"/>
      <c r="P1049" s="19">
        <f t="shared" si="37"/>
        <v>0</v>
      </c>
      <c r="Q1049" s="19">
        <f t="shared" si="36"/>
        <v>0</v>
      </c>
    </row>
    <row r="1050" spans="2:17" x14ac:dyDescent="0.2">
      <c r="B1050" s="21"/>
      <c r="C1050" s="22"/>
      <c r="D1050" s="23"/>
      <c r="E1050" s="24"/>
      <c r="F1050" s="24"/>
      <c r="G1050" s="24"/>
      <c r="H1050" s="24"/>
      <c r="I1050" s="24"/>
      <c r="J1050" s="24"/>
      <c r="K1050" s="24"/>
      <c r="L1050" s="58">
        <f>IF(K1050&gt;=0,K1050,0)</f>
        <v>0</v>
      </c>
      <c r="M1050" s="58">
        <f>IF(K1050&lt;=0,K1050,0)</f>
        <v>0</v>
      </c>
      <c r="N1050" s="58">
        <f>L1050+-M1050</f>
        <v>0</v>
      </c>
      <c r="O1050" s="19"/>
      <c r="P1050" s="19">
        <f t="shared" si="37"/>
        <v>0</v>
      </c>
      <c r="Q1050" s="19">
        <f t="shared" si="36"/>
        <v>0</v>
      </c>
    </row>
    <row r="1051" spans="2:17" x14ac:dyDescent="0.2">
      <c r="B1051" s="21"/>
      <c r="C1051" s="22"/>
      <c r="D1051" s="23"/>
      <c r="E1051" s="24"/>
      <c r="F1051" s="24"/>
      <c r="G1051" s="24"/>
      <c r="H1051" s="24"/>
      <c r="I1051" s="24"/>
      <c r="J1051" s="24"/>
      <c r="K1051" s="24"/>
      <c r="L1051" s="58">
        <f>IF(K1051&gt;=0,K1051,0)</f>
        <v>0</v>
      </c>
      <c r="M1051" s="58">
        <f>IF(K1051&lt;=0,K1051,0)</f>
        <v>0</v>
      </c>
      <c r="N1051" s="58">
        <f>L1051+-M1051</f>
        <v>0</v>
      </c>
      <c r="O1051" s="19"/>
      <c r="P1051" s="19">
        <f t="shared" si="37"/>
        <v>0</v>
      </c>
      <c r="Q1051" s="19">
        <f t="shared" si="36"/>
        <v>0</v>
      </c>
    </row>
    <row r="1052" spans="2:17" x14ac:dyDescent="0.2">
      <c r="B1052" s="21"/>
      <c r="C1052" s="22"/>
      <c r="D1052" s="23"/>
      <c r="E1052" s="24"/>
      <c r="F1052" s="24"/>
      <c r="G1052" s="24"/>
      <c r="H1052" s="24"/>
      <c r="I1052" s="24"/>
      <c r="J1052" s="24"/>
      <c r="K1052" s="24"/>
      <c r="L1052" s="58">
        <f>IF(K1052&gt;=0,K1052,0)</f>
        <v>0</v>
      </c>
      <c r="M1052" s="58">
        <f>IF(K1052&lt;=0,K1052,0)</f>
        <v>0</v>
      </c>
      <c r="N1052" s="58">
        <f>L1052+-M1052</f>
        <v>0</v>
      </c>
      <c r="O1052" s="19"/>
      <c r="P1052" s="19">
        <f t="shared" si="37"/>
        <v>0</v>
      </c>
      <c r="Q1052" s="19">
        <f t="shared" si="36"/>
        <v>0</v>
      </c>
    </row>
    <row r="1053" spans="2:17" x14ac:dyDescent="0.2">
      <c r="B1053" s="9"/>
      <c r="C1053" s="9"/>
      <c r="D1053" s="9"/>
      <c r="E1053" s="10"/>
      <c r="F1053" s="10"/>
      <c r="G1053" s="10"/>
      <c r="H1053" s="10"/>
      <c r="I1053" s="10"/>
      <c r="J1053" s="10"/>
      <c r="K1053" s="10"/>
      <c r="L1053" s="10"/>
      <c r="N1053" s="12"/>
      <c r="O1053" s="19"/>
      <c r="P1053" s="19"/>
      <c r="Q1053" s="19"/>
    </row>
    <row r="1054" spans="2:17" x14ac:dyDescent="0.2">
      <c r="B1054" s="9"/>
      <c r="C1054" s="9"/>
      <c r="D1054" s="9"/>
      <c r="E1054" s="10"/>
      <c r="F1054" s="10"/>
      <c r="G1054" s="10"/>
      <c r="H1054" s="10"/>
      <c r="I1054" s="10"/>
      <c r="J1054" s="10"/>
      <c r="K1054" s="10"/>
      <c r="L1054" s="10"/>
      <c r="O1054" s="19"/>
      <c r="P1054" s="19"/>
      <c r="Q1054" s="19"/>
    </row>
    <row r="1055" spans="2:17" x14ac:dyDescent="0.2">
      <c r="B1055" s="9"/>
      <c r="C1055" s="9"/>
      <c r="D1055" s="9"/>
      <c r="E1055" s="10"/>
      <c r="F1055" s="10"/>
      <c r="G1055" s="10"/>
      <c r="H1055" s="10"/>
      <c r="I1055" s="10"/>
      <c r="K1055" s="10"/>
      <c r="L1055" s="10"/>
      <c r="M1055" s="11" t="s">
        <v>22</v>
      </c>
      <c r="N1055" s="20">
        <f>SUM(N1:N1052)</f>
        <v>1016.5004350000002</v>
      </c>
      <c r="O1055" s="19"/>
      <c r="P1055" s="19"/>
      <c r="Q1055" s="19"/>
    </row>
  </sheetData>
  <sheetProtection algorithmName="SHA-512" hashValue="/ehdqGR22oIlyaOw82wYyUweK02JpgIrp+KjZuhLA11/wgJeIsuEKSpf0bF/H5pautVrN9Lxq8dQSnr7Oheffw==" saltValue="cfLSf69A00iwStUugSWJtw==" spinCount="100000" sheet="1" objects="1" scenarios="1"/>
  <autoFilter ref="A6:Q1052" xr:uid="{00000000-0001-0000-0000-000000000000}"/>
  <sortState xmlns:xlrd2="http://schemas.microsoft.com/office/spreadsheetml/2017/richdata2" ref="B7:N1052">
    <sortCondition descending="1" ref="N7:N1052"/>
  </sortState>
  <pageMargins left="0.70866141732283472" right="0.70866141732283472" top="0.74803149606299213" bottom="0.74803149606299213" header="0.31496062992125984" footer="0.31496062992125984"/>
  <pageSetup paperSize="9" orientation="portrait" r:id="rId1"/>
  <headerFooter>
    <oddFooter>&amp;LR-AI-15-3
Rev.01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A1:Q11"/>
  <sheetViews>
    <sheetView showGridLines="0" zoomScale="55" zoomScaleNormal="55" zoomScaleSheetLayoutView="80" workbookViewId="0">
      <selection activeCell="B1" sqref="B1"/>
    </sheetView>
  </sheetViews>
  <sheetFormatPr baseColWidth="10" defaultColWidth="9.28515625" defaultRowHeight="12.75" x14ac:dyDescent="0.2"/>
  <cols>
    <col min="1" max="1" width="1.7109375" style="2" customWidth="1"/>
    <col min="2" max="2" width="18.5703125" style="3" customWidth="1"/>
    <col min="3" max="3" width="75.140625" style="3" customWidth="1"/>
    <col min="4" max="4" width="7.5703125" style="3" customWidth="1"/>
    <col min="5" max="5" width="10.42578125" style="3" customWidth="1"/>
    <col min="6" max="6" width="10.7109375" style="3" customWidth="1"/>
    <col min="7" max="7" width="14.7109375" style="3" customWidth="1"/>
    <col min="8" max="8" width="10.7109375" style="3" customWidth="1"/>
    <col min="9" max="9" width="18" style="3" customWidth="1"/>
    <col min="10" max="10" width="12.85546875" style="3" bestFit="1" customWidth="1"/>
    <col min="11" max="11" width="11.140625" style="3" customWidth="1"/>
    <col min="12" max="12" width="17.85546875" style="3" customWidth="1"/>
    <col min="13" max="13" width="13.5703125" style="3" customWidth="1"/>
    <col min="14" max="14" width="17.140625" style="4" customWidth="1"/>
    <col min="15" max="15" width="87.28515625" style="5" customWidth="1"/>
    <col min="16" max="16" width="0.85546875" style="5" hidden="1" customWidth="1"/>
    <col min="17" max="17" width="1.5703125" style="5" customWidth="1"/>
    <col min="18" max="16384" width="9.28515625" style="6"/>
  </cols>
  <sheetData>
    <row r="1" spans="1:17" ht="3.75" customHeight="1" x14ac:dyDescent="0.2">
      <c r="A1" s="39"/>
      <c r="B1" s="120"/>
      <c r="C1" s="120"/>
      <c r="D1" s="120"/>
      <c r="E1" s="120"/>
      <c r="F1" s="120"/>
      <c r="G1" s="120"/>
      <c r="H1" s="120"/>
      <c r="I1" s="120"/>
      <c r="J1" s="120"/>
      <c r="K1" s="120"/>
      <c r="L1" s="120"/>
      <c r="M1" s="120"/>
      <c r="N1" s="121"/>
      <c r="O1" s="122"/>
      <c r="P1" s="40"/>
    </row>
    <row r="2" spans="1:17" ht="15.75" x14ac:dyDescent="0.25">
      <c r="A2" s="41"/>
      <c r="B2" s="123" t="s">
        <v>46</v>
      </c>
      <c r="C2" s="42"/>
      <c r="D2" s="96"/>
      <c r="E2" s="96"/>
      <c r="F2" s="96"/>
      <c r="G2" s="96"/>
      <c r="H2" s="96"/>
      <c r="I2" s="96"/>
      <c r="J2" s="96"/>
      <c r="K2" s="96"/>
      <c r="L2" s="96"/>
      <c r="M2" s="96"/>
      <c r="N2" s="97"/>
      <c r="O2" s="113"/>
      <c r="P2" s="43"/>
    </row>
    <row r="3" spans="1:17" ht="15.75" x14ac:dyDescent="0.2">
      <c r="A3" s="41"/>
      <c r="B3" s="96"/>
      <c r="C3" s="124"/>
      <c r="D3" s="96"/>
      <c r="E3" s="96"/>
      <c r="F3" s="96"/>
      <c r="G3" s="96"/>
      <c r="H3" s="96"/>
      <c r="I3" s="96"/>
      <c r="J3" s="96"/>
      <c r="K3" s="96"/>
      <c r="L3" s="96"/>
      <c r="M3" s="96"/>
      <c r="N3" s="97"/>
      <c r="O3" s="113"/>
      <c r="P3" s="44"/>
    </row>
    <row r="4" spans="1:17" ht="15" x14ac:dyDescent="0.2">
      <c r="A4" s="41"/>
      <c r="B4" s="96"/>
      <c r="C4" s="96"/>
      <c r="D4" s="96"/>
      <c r="E4" s="96"/>
      <c r="F4" s="96"/>
      <c r="G4" s="96"/>
      <c r="H4" s="96"/>
      <c r="I4" s="96"/>
      <c r="J4" s="96"/>
      <c r="K4" s="96"/>
      <c r="L4" s="96"/>
      <c r="M4" s="96"/>
      <c r="N4" s="97"/>
      <c r="O4" s="113"/>
      <c r="P4" s="44"/>
    </row>
    <row r="5" spans="1:17" ht="15.75" x14ac:dyDescent="0.2">
      <c r="A5" s="41"/>
      <c r="B5" s="125" t="s">
        <v>0</v>
      </c>
      <c r="C5" s="126" t="s">
        <v>179</v>
      </c>
      <c r="D5" s="127"/>
      <c r="E5" s="127"/>
      <c r="F5" s="127"/>
      <c r="G5" s="127"/>
      <c r="H5" s="127"/>
      <c r="I5" s="127"/>
      <c r="J5" s="127"/>
      <c r="K5" s="127"/>
      <c r="L5" s="127"/>
      <c r="M5" s="127"/>
      <c r="N5" s="127"/>
      <c r="O5" s="113"/>
      <c r="P5" s="45"/>
    </row>
    <row r="6" spans="1:17" ht="31.5" x14ac:dyDescent="0.2">
      <c r="A6" s="41"/>
      <c r="B6" s="125" t="s">
        <v>21</v>
      </c>
      <c r="C6" s="128">
        <v>46228</v>
      </c>
      <c r="D6" s="127"/>
      <c r="E6" s="127"/>
      <c r="F6" s="127"/>
      <c r="G6" s="127"/>
      <c r="H6" s="127"/>
      <c r="I6" s="127"/>
      <c r="J6" s="127"/>
      <c r="K6" s="127"/>
      <c r="L6" s="127"/>
      <c r="M6" s="127"/>
      <c r="N6" s="127"/>
      <c r="O6" s="113"/>
      <c r="P6" s="45"/>
    </row>
    <row r="7" spans="1:17" ht="31.5" x14ac:dyDescent="0.2">
      <c r="A7" s="41"/>
      <c r="B7" s="125" t="s">
        <v>7</v>
      </c>
      <c r="C7" s="129" t="s">
        <v>8</v>
      </c>
      <c r="D7" s="127"/>
      <c r="E7" s="127"/>
      <c r="F7" s="127"/>
      <c r="G7" s="127"/>
      <c r="H7" s="127"/>
      <c r="I7" s="127"/>
      <c r="J7" s="127"/>
      <c r="K7" s="127"/>
      <c r="L7" s="127"/>
      <c r="M7" s="127"/>
      <c r="N7" s="127"/>
      <c r="O7" s="113"/>
      <c r="P7" s="44"/>
    </row>
    <row r="8" spans="1:17" ht="15" hidden="1" x14ac:dyDescent="0.2">
      <c r="A8" s="41"/>
      <c r="B8" s="130"/>
      <c r="C8" s="127"/>
      <c r="D8" s="127"/>
      <c r="E8" s="127"/>
      <c r="F8" s="127"/>
      <c r="G8" s="127"/>
      <c r="H8" s="127"/>
      <c r="I8" s="127"/>
      <c r="J8" s="131"/>
      <c r="K8" s="127"/>
      <c r="L8" s="127"/>
      <c r="M8" s="127"/>
      <c r="N8" s="127"/>
      <c r="O8" s="113"/>
      <c r="P8" s="44"/>
    </row>
    <row r="9" spans="1:17" ht="31.5" x14ac:dyDescent="0.2">
      <c r="A9" s="41"/>
      <c r="B9" s="59" t="s">
        <v>1</v>
      </c>
      <c r="C9" s="60" t="s">
        <v>9</v>
      </c>
      <c r="D9" s="59" t="s">
        <v>10</v>
      </c>
      <c r="E9" s="59" t="s">
        <v>11</v>
      </c>
      <c r="F9" s="61" t="s">
        <v>12</v>
      </c>
      <c r="G9" s="59" t="s">
        <v>13</v>
      </c>
      <c r="H9" s="59" t="s">
        <v>14</v>
      </c>
      <c r="I9" s="59" t="s">
        <v>15</v>
      </c>
      <c r="J9" s="59" t="s">
        <v>16</v>
      </c>
      <c r="K9" s="59" t="s">
        <v>17</v>
      </c>
      <c r="L9" s="62" t="s">
        <v>2</v>
      </c>
      <c r="M9" s="62" t="s">
        <v>3</v>
      </c>
      <c r="N9" s="63" t="s">
        <v>4</v>
      </c>
      <c r="O9" s="64" t="s">
        <v>20</v>
      </c>
      <c r="P9" s="45"/>
      <c r="Q9" s="7"/>
    </row>
    <row r="10" spans="1:17" ht="15.75" x14ac:dyDescent="0.2">
      <c r="A10" s="41"/>
      <c r="B10" s="65"/>
      <c r="C10" s="66" t="s">
        <v>18</v>
      </c>
      <c r="D10" s="67"/>
      <c r="E10" s="68"/>
      <c r="F10" s="68"/>
      <c r="G10" s="69">
        <v>47510.57</v>
      </c>
      <c r="H10" s="70"/>
      <c r="I10" s="69">
        <v>47098.21</v>
      </c>
      <c r="J10" s="70"/>
      <c r="K10" s="69">
        <v>412.35753</v>
      </c>
      <c r="L10" s="71"/>
      <c r="M10" s="72"/>
      <c r="N10" s="72"/>
      <c r="O10" s="73"/>
      <c r="P10" s="46"/>
      <c r="Q10" s="8"/>
    </row>
    <row r="11" spans="1:17" ht="15.75" x14ac:dyDescent="0.2">
      <c r="A11" s="41"/>
      <c r="B11" s="65"/>
      <c r="C11" s="66" t="s">
        <v>19</v>
      </c>
      <c r="D11" s="67"/>
      <c r="E11" s="68"/>
      <c r="F11" s="68"/>
      <c r="G11" s="69">
        <v>47510.57</v>
      </c>
      <c r="H11" s="68"/>
      <c r="I11" s="69">
        <v>47098.21</v>
      </c>
      <c r="J11" s="68"/>
      <c r="K11" s="69">
        <v>412.35753</v>
      </c>
      <c r="L11" s="74"/>
      <c r="M11" s="75"/>
      <c r="N11" s="72"/>
      <c r="O11" s="76"/>
      <c r="P11" s="46"/>
      <c r="Q11" s="8"/>
    </row>
  </sheetData>
  <sheetProtection sheet="1" objects="1" scenarios="1" formatColumns="0"/>
  <pageMargins left="0" right="0" top="0" bottom="0" header="0" footer="0"/>
  <pageSetup paperSize="9" scale="45" fitToHeight="0" orientation="landscape" horizontalDpi="360" verticalDpi="360" r:id="rId1"/>
  <headerFooter>
    <oddFooter>&amp;LR-AI-15-3
Rev.01</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64852-982C-426B-9C6E-116EF0DA5B39}">
  <sheetPr codeName="Hoja3">
    <pageSetUpPr fitToPage="1"/>
  </sheetPr>
  <dimension ref="A1:Q105"/>
  <sheetViews>
    <sheetView showGridLines="0" tabSelected="1" topLeftCell="A50" zoomScale="55" zoomScaleNormal="55" zoomScaleSheetLayoutView="80" workbookViewId="0">
      <selection activeCell="C75" sqref="C75"/>
    </sheetView>
  </sheetViews>
  <sheetFormatPr baseColWidth="10" defaultColWidth="9.28515625" defaultRowHeight="12.75" x14ac:dyDescent="0.2"/>
  <cols>
    <col min="1" max="1" width="1.7109375" style="2" customWidth="1"/>
    <col min="2" max="2" width="18.5703125" style="3" customWidth="1"/>
    <col min="3" max="3" width="75.140625" style="3" customWidth="1"/>
    <col min="4" max="4" width="7.5703125" style="3" customWidth="1"/>
    <col min="5" max="5" width="10.42578125" style="3" customWidth="1"/>
    <col min="6" max="6" width="10.7109375" style="3" customWidth="1"/>
    <col min="7" max="7" width="16.28515625" style="3" customWidth="1"/>
    <col min="8" max="8" width="10.7109375" style="3" customWidth="1"/>
    <col min="9" max="9" width="18" style="3" customWidth="1"/>
    <col min="10" max="10" width="12.85546875" style="3" bestFit="1" customWidth="1"/>
    <col min="11" max="11" width="11.140625" style="3" customWidth="1"/>
    <col min="12" max="12" width="17.85546875" style="3" customWidth="1"/>
    <col min="13" max="13" width="13.5703125" style="3" customWidth="1"/>
    <col min="14" max="14" width="17.140625" style="4" customWidth="1"/>
    <col min="15" max="15" width="87.28515625" style="5" customWidth="1"/>
    <col min="16" max="16" width="0.85546875" style="5" hidden="1" customWidth="1"/>
    <col min="17" max="17" width="1.5703125" style="5" customWidth="1"/>
    <col min="18" max="16384" width="9.28515625" style="6"/>
  </cols>
  <sheetData>
    <row r="1" spans="1:17" ht="3.75" customHeight="1" x14ac:dyDescent="0.2">
      <c r="A1" s="39"/>
      <c r="B1" s="120"/>
      <c r="C1" s="120"/>
      <c r="D1" s="120"/>
      <c r="E1" s="120"/>
      <c r="F1" s="120"/>
      <c r="G1" s="120"/>
      <c r="H1" s="120"/>
      <c r="I1" s="120"/>
      <c r="J1" s="120"/>
      <c r="K1" s="120"/>
      <c r="L1" s="120"/>
      <c r="M1" s="120"/>
      <c r="N1" s="121"/>
      <c r="O1" s="122"/>
      <c r="P1" s="40"/>
    </row>
    <row r="2" spans="1:17" ht="15.75" x14ac:dyDescent="0.25">
      <c r="A2" s="41"/>
      <c r="B2" s="123" t="s">
        <v>46</v>
      </c>
      <c r="C2" s="42"/>
      <c r="D2" s="96"/>
      <c r="E2" s="96"/>
      <c r="F2" s="96"/>
      <c r="G2" s="96"/>
      <c r="H2" s="96"/>
      <c r="I2" s="96"/>
      <c r="J2" s="96"/>
      <c r="K2" s="96"/>
      <c r="L2" s="96"/>
      <c r="M2" s="96"/>
      <c r="N2" s="97"/>
      <c r="O2" s="113"/>
      <c r="P2" s="43"/>
    </row>
    <row r="3" spans="1:17" ht="15.75" x14ac:dyDescent="0.2">
      <c r="A3" s="41"/>
      <c r="B3" s="96"/>
      <c r="C3" s="124"/>
      <c r="D3" s="96"/>
      <c r="E3" s="96"/>
      <c r="F3" s="96"/>
      <c r="G3" s="96"/>
      <c r="H3" s="96"/>
      <c r="I3" s="96"/>
      <c r="J3" s="96"/>
      <c r="K3" s="96"/>
      <c r="L3" s="96"/>
      <c r="M3" s="96"/>
      <c r="N3" s="97"/>
      <c r="O3" s="113"/>
      <c r="P3" s="44"/>
    </row>
    <row r="4" spans="1:17" ht="15" x14ac:dyDescent="0.2">
      <c r="A4" s="41"/>
      <c r="B4" s="96"/>
      <c r="C4" s="96"/>
      <c r="D4" s="96"/>
      <c r="E4" s="96"/>
      <c r="F4" s="96"/>
      <c r="G4" s="96"/>
      <c r="H4" s="96"/>
      <c r="I4" s="96"/>
      <c r="J4" s="96"/>
      <c r="K4" s="96"/>
      <c r="L4" s="96"/>
      <c r="M4" s="96"/>
      <c r="N4" s="97"/>
      <c r="O4" s="113"/>
      <c r="P4" s="44"/>
    </row>
    <row r="5" spans="1:17" ht="15.75" x14ac:dyDescent="0.2">
      <c r="A5" s="41"/>
      <c r="B5" s="125" t="s">
        <v>0</v>
      </c>
      <c r="C5" s="126" t="s">
        <v>179</v>
      </c>
      <c r="D5" s="127"/>
      <c r="E5" s="127"/>
      <c r="F5" s="127"/>
      <c r="G5" s="127"/>
      <c r="H5" s="127"/>
      <c r="I5" s="127"/>
      <c r="J5" s="127"/>
      <c r="K5" s="127"/>
      <c r="L5" s="127"/>
      <c r="M5" s="127"/>
      <c r="N5" s="127"/>
      <c r="O5" s="113"/>
      <c r="P5" s="45"/>
    </row>
    <row r="6" spans="1:17" ht="31.5" x14ac:dyDescent="0.2">
      <c r="A6" s="41"/>
      <c r="B6" s="125" t="s">
        <v>21</v>
      </c>
      <c r="C6" s="128">
        <v>46292</v>
      </c>
      <c r="D6" s="127"/>
      <c r="E6" s="127"/>
      <c r="F6" s="127"/>
      <c r="G6" s="127"/>
      <c r="H6" s="127"/>
      <c r="I6" s="127"/>
      <c r="J6" s="127"/>
      <c r="K6" s="127"/>
      <c r="L6" s="127"/>
      <c r="M6" s="127"/>
      <c r="N6" s="127"/>
      <c r="O6" s="113"/>
      <c r="P6" s="45"/>
    </row>
    <row r="7" spans="1:17" ht="31.5" x14ac:dyDescent="0.2">
      <c r="A7" s="41"/>
      <c r="B7" s="125" t="s">
        <v>7</v>
      </c>
      <c r="C7" s="129" t="s">
        <v>8</v>
      </c>
      <c r="D7" s="127"/>
      <c r="E7" s="127"/>
      <c r="F7" s="127"/>
      <c r="G7" s="127"/>
      <c r="H7" s="127"/>
      <c r="I7" s="127"/>
      <c r="J7" s="127"/>
      <c r="K7" s="127"/>
      <c r="L7" s="127"/>
      <c r="M7" s="127"/>
      <c r="N7" s="127"/>
      <c r="O7" s="113"/>
      <c r="P7" s="44"/>
    </row>
    <row r="8" spans="1:17" ht="15" hidden="1" x14ac:dyDescent="0.2">
      <c r="A8" s="41"/>
      <c r="B8" s="130"/>
      <c r="C8" s="127"/>
      <c r="D8" s="127"/>
      <c r="E8" s="127"/>
      <c r="F8" s="127"/>
      <c r="G8" s="127"/>
      <c r="H8" s="127"/>
      <c r="I8" s="127"/>
      <c r="J8" s="131"/>
      <c r="K8" s="127"/>
      <c r="L8" s="127"/>
      <c r="M8" s="127"/>
      <c r="N8" s="127"/>
      <c r="O8" s="113"/>
      <c r="P8" s="44"/>
    </row>
    <row r="9" spans="1:17" ht="31.5" x14ac:dyDescent="0.2">
      <c r="A9" s="41"/>
      <c r="B9" s="59" t="s">
        <v>1</v>
      </c>
      <c r="C9" s="60" t="s">
        <v>9</v>
      </c>
      <c r="D9" s="59" t="s">
        <v>10</v>
      </c>
      <c r="E9" s="59" t="s">
        <v>11</v>
      </c>
      <c r="F9" s="61" t="s">
        <v>12</v>
      </c>
      <c r="G9" s="59" t="s">
        <v>13</v>
      </c>
      <c r="H9" s="59" t="s">
        <v>14</v>
      </c>
      <c r="I9" s="59" t="s">
        <v>15</v>
      </c>
      <c r="J9" s="59" t="s">
        <v>16</v>
      </c>
      <c r="K9" s="59" t="s">
        <v>17</v>
      </c>
      <c r="L9" s="62" t="s">
        <v>2</v>
      </c>
      <c r="M9" s="62" t="s">
        <v>3</v>
      </c>
      <c r="N9" s="63" t="s">
        <v>4</v>
      </c>
      <c r="O9" s="64" t="s">
        <v>20</v>
      </c>
      <c r="P9" s="45"/>
      <c r="Q9" s="7"/>
    </row>
    <row r="10" spans="1:17" s="171" customFormat="1" ht="31.5" customHeight="1" x14ac:dyDescent="0.2">
      <c r="A10" s="161"/>
      <c r="B10" s="162"/>
      <c r="C10" s="163" t="s">
        <v>18</v>
      </c>
      <c r="D10" s="85"/>
      <c r="E10" s="86"/>
      <c r="F10" s="86"/>
      <c r="G10" s="164">
        <v>235203.82529000001</v>
      </c>
      <c r="H10" s="165"/>
      <c r="I10" s="164">
        <v>235230.21356599999</v>
      </c>
      <c r="J10" s="165"/>
      <c r="K10" s="164">
        <v>-26.388276000000001</v>
      </c>
      <c r="L10" s="166"/>
      <c r="M10" s="167"/>
      <c r="N10" s="167"/>
      <c r="O10" s="168"/>
      <c r="P10" s="169"/>
      <c r="Q10" s="170"/>
    </row>
    <row r="11" spans="1:17" s="171" customFormat="1" ht="31.5" customHeight="1" x14ac:dyDescent="0.2">
      <c r="A11" s="161"/>
      <c r="B11" s="162"/>
      <c r="C11" s="163" t="s">
        <v>19</v>
      </c>
      <c r="D11" s="85"/>
      <c r="E11" s="86"/>
      <c r="F11" s="86"/>
      <c r="G11" s="164">
        <v>235203.82529000001</v>
      </c>
      <c r="H11" s="86"/>
      <c r="I11" s="164">
        <v>235230.21356599999</v>
      </c>
      <c r="J11" s="86"/>
      <c r="K11" s="164">
        <v>-26.388276000000001</v>
      </c>
      <c r="L11" s="172"/>
      <c r="M11" s="173"/>
      <c r="N11" s="167"/>
      <c r="O11" s="168"/>
      <c r="P11" s="169"/>
      <c r="Q11" s="170"/>
    </row>
    <row r="12" spans="1:17" s="174" customFormat="1" ht="31.5" customHeight="1" x14ac:dyDescent="0.2">
      <c r="A12" s="133"/>
      <c r="B12" s="134">
        <v>10208037854</v>
      </c>
      <c r="C12" s="135" t="s">
        <v>60</v>
      </c>
      <c r="D12" s="136" t="s">
        <v>54</v>
      </c>
      <c r="E12" s="137">
        <v>9.5499989999999997</v>
      </c>
      <c r="F12" s="137">
        <v>18</v>
      </c>
      <c r="G12" s="137">
        <v>171.89998199999999</v>
      </c>
      <c r="H12" s="137">
        <v>14</v>
      </c>
      <c r="I12" s="137">
        <v>133.699986</v>
      </c>
      <c r="J12" s="137">
        <v>4</v>
      </c>
      <c r="K12" s="137">
        <v>38.199995999999999</v>
      </c>
      <c r="L12" s="138">
        <v>38.199995999999999</v>
      </c>
      <c r="M12" s="139">
        <v>0</v>
      </c>
      <c r="N12" s="140">
        <v>38.199995999999999</v>
      </c>
      <c r="O12" s="141" t="s">
        <v>484</v>
      </c>
      <c r="P12" s="142"/>
      <c r="Q12" s="143"/>
    </row>
    <row r="13" spans="1:17" s="174" customFormat="1" ht="31.5" customHeight="1" x14ac:dyDescent="0.2">
      <c r="A13" s="133"/>
      <c r="B13" s="134">
        <v>1020134657</v>
      </c>
      <c r="C13" s="135" t="s">
        <v>62</v>
      </c>
      <c r="D13" s="136" t="s">
        <v>58</v>
      </c>
      <c r="E13" s="137">
        <v>0.84</v>
      </c>
      <c r="F13" s="137">
        <v>1493</v>
      </c>
      <c r="G13" s="137">
        <v>1254.1199999999999</v>
      </c>
      <c r="H13" s="137">
        <v>1492.9949999999999</v>
      </c>
      <c r="I13" s="137">
        <v>1254.1158</v>
      </c>
      <c r="J13" s="137">
        <v>5.0000000000000001E-3</v>
      </c>
      <c r="K13" s="137">
        <v>4.1999999999999997E-3</v>
      </c>
      <c r="L13" s="138">
        <v>4.1999999999999997E-3</v>
      </c>
      <c r="M13" s="139">
        <v>0</v>
      </c>
      <c r="N13" s="140">
        <v>4.1999999999999997E-3</v>
      </c>
      <c r="O13" s="141" t="s">
        <v>485</v>
      </c>
      <c r="P13" s="142"/>
      <c r="Q13" s="143"/>
    </row>
    <row r="14" spans="1:17" s="174" customFormat="1" ht="31.5" customHeight="1" x14ac:dyDescent="0.2">
      <c r="A14" s="133"/>
      <c r="B14" s="134">
        <v>3010158</v>
      </c>
      <c r="C14" s="135" t="s">
        <v>66</v>
      </c>
      <c r="D14" s="136" t="s">
        <v>67</v>
      </c>
      <c r="E14" s="137">
        <v>13.242000000000001</v>
      </c>
      <c r="F14" s="137">
        <v>12.94</v>
      </c>
      <c r="G14" s="137">
        <v>171.35148000000001</v>
      </c>
      <c r="H14" s="137">
        <v>12.935</v>
      </c>
      <c r="I14" s="137">
        <v>171.28527</v>
      </c>
      <c r="J14" s="137">
        <v>5.0000000000000001E-3</v>
      </c>
      <c r="K14" s="137">
        <v>6.6210000000000005E-2</v>
      </c>
      <c r="L14" s="138">
        <v>6.6210000000000005E-2</v>
      </c>
      <c r="M14" s="139">
        <v>0</v>
      </c>
      <c r="N14" s="140">
        <v>6.6210000000000005E-2</v>
      </c>
      <c r="O14" s="141" t="s">
        <v>486</v>
      </c>
      <c r="P14" s="142"/>
      <c r="Q14" s="143"/>
    </row>
    <row r="15" spans="1:17" s="174" customFormat="1" ht="31.5" customHeight="1" x14ac:dyDescent="0.2">
      <c r="A15" s="133"/>
      <c r="B15" s="134">
        <v>102010007</v>
      </c>
      <c r="C15" s="135" t="s">
        <v>278</v>
      </c>
      <c r="D15" s="136" t="s">
        <v>51</v>
      </c>
      <c r="E15" s="137">
        <v>5.26</v>
      </c>
      <c r="F15" s="137">
        <v>18</v>
      </c>
      <c r="G15" s="137">
        <v>94.68</v>
      </c>
      <c r="H15" s="137">
        <v>17.7</v>
      </c>
      <c r="I15" s="137">
        <v>93.102000000000004</v>
      </c>
      <c r="J15" s="137">
        <v>0.3</v>
      </c>
      <c r="K15" s="137">
        <v>1.5780000000000001</v>
      </c>
      <c r="L15" s="138">
        <v>1.5780000000000001</v>
      </c>
      <c r="M15" s="139">
        <v>0</v>
      </c>
      <c r="N15" s="140">
        <v>1.5780000000000001</v>
      </c>
      <c r="O15" s="141" t="s">
        <v>487</v>
      </c>
      <c r="P15" s="142"/>
      <c r="Q15" s="143"/>
    </row>
    <row r="16" spans="1:17" s="174" customFormat="1" ht="31.5" customHeight="1" x14ac:dyDescent="0.2">
      <c r="A16" s="133"/>
      <c r="B16" s="134">
        <v>10201041333</v>
      </c>
      <c r="C16" s="135" t="s">
        <v>251</v>
      </c>
      <c r="D16" s="136" t="s">
        <v>58</v>
      </c>
      <c r="E16" s="137">
        <v>1.6910000000000001</v>
      </c>
      <c r="F16" s="137">
        <v>96</v>
      </c>
      <c r="G16" s="137">
        <v>162.33600000000001</v>
      </c>
      <c r="H16" s="137">
        <v>86</v>
      </c>
      <c r="I16" s="137">
        <v>145.42599999999999</v>
      </c>
      <c r="J16" s="137">
        <v>10</v>
      </c>
      <c r="K16" s="137">
        <v>16.91</v>
      </c>
      <c r="L16" s="138">
        <v>16.91</v>
      </c>
      <c r="M16" s="139">
        <v>0</v>
      </c>
      <c r="N16" s="140">
        <v>16.91</v>
      </c>
      <c r="O16" s="141" t="s">
        <v>488</v>
      </c>
      <c r="P16" s="142"/>
      <c r="Q16" s="143"/>
    </row>
    <row r="17" spans="1:17" s="174" customFormat="1" ht="31.5" customHeight="1" x14ac:dyDescent="0.2">
      <c r="A17" s="133"/>
      <c r="B17" s="134">
        <v>101010247</v>
      </c>
      <c r="C17" s="135" t="s">
        <v>79</v>
      </c>
      <c r="D17" s="136" t="s">
        <v>59</v>
      </c>
      <c r="E17" s="137">
        <v>11.164</v>
      </c>
      <c r="F17" s="137">
        <v>19</v>
      </c>
      <c r="G17" s="137">
        <v>212.11600000000001</v>
      </c>
      <c r="H17" s="137">
        <v>17</v>
      </c>
      <c r="I17" s="137">
        <v>189.78800000000001</v>
      </c>
      <c r="J17" s="137">
        <v>2</v>
      </c>
      <c r="K17" s="137">
        <v>22.327999999999999</v>
      </c>
      <c r="L17" s="138">
        <v>22.327999999999999</v>
      </c>
      <c r="M17" s="139">
        <v>0</v>
      </c>
      <c r="N17" s="140">
        <v>22.327999999999999</v>
      </c>
      <c r="O17" s="141" t="s">
        <v>489</v>
      </c>
      <c r="P17" s="142"/>
      <c r="Q17" s="143"/>
    </row>
    <row r="18" spans="1:17" s="174" customFormat="1" ht="31.5" customHeight="1" x14ac:dyDescent="0.2">
      <c r="A18" s="133"/>
      <c r="B18" s="134">
        <v>102010010</v>
      </c>
      <c r="C18" s="135" t="s">
        <v>88</v>
      </c>
      <c r="D18" s="136" t="s">
        <v>51</v>
      </c>
      <c r="E18" s="137">
        <v>5.53</v>
      </c>
      <c r="F18" s="137">
        <v>23</v>
      </c>
      <c r="G18" s="137">
        <v>127.19</v>
      </c>
      <c r="H18" s="137">
        <v>24.76</v>
      </c>
      <c r="I18" s="137">
        <v>136.9228</v>
      </c>
      <c r="J18" s="137">
        <v>-1.76</v>
      </c>
      <c r="K18" s="137">
        <v>-9.7327999999999992</v>
      </c>
      <c r="L18" s="138">
        <v>0</v>
      </c>
      <c r="M18" s="139">
        <v>-9.7327999999999992</v>
      </c>
      <c r="N18" s="140">
        <v>9.7327999999999992</v>
      </c>
      <c r="O18" s="141" t="s">
        <v>490</v>
      </c>
      <c r="P18" s="142"/>
      <c r="Q18" s="143"/>
    </row>
    <row r="19" spans="1:17" s="144" customFormat="1" ht="31.5" customHeight="1" x14ac:dyDescent="0.2">
      <c r="A19" s="133"/>
      <c r="B19" s="134">
        <v>10204041046</v>
      </c>
      <c r="C19" s="135" t="s">
        <v>254</v>
      </c>
      <c r="D19" s="136" t="s">
        <v>59</v>
      </c>
      <c r="E19" s="137">
        <v>6.67</v>
      </c>
      <c r="F19" s="137">
        <v>29</v>
      </c>
      <c r="G19" s="137">
        <v>193.43</v>
      </c>
      <c r="H19" s="137">
        <v>25</v>
      </c>
      <c r="I19" s="137">
        <v>166.75</v>
      </c>
      <c r="J19" s="137">
        <v>4</v>
      </c>
      <c r="K19" s="137">
        <v>26.68</v>
      </c>
      <c r="L19" s="138">
        <v>26.68</v>
      </c>
      <c r="M19" s="139">
        <v>0</v>
      </c>
      <c r="N19" s="140">
        <v>26.68</v>
      </c>
      <c r="O19" s="141" t="s">
        <v>491</v>
      </c>
      <c r="P19" s="142"/>
      <c r="Q19" s="143"/>
    </row>
    <row r="20" spans="1:17" s="144" customFormat="1" ht="31.5" customHeight="1" x14ac:dyDescent="0.2">
      <c r="A20" s="133"/>
      <c r="B20" s="134">
        <v>10105042270</v>
      </c>
      <c r="C20" s="135" t="s">
        <v>284</v>
      </c>
      <c r="D20" s="136" t="s">
        <v>65</v>
      </c>
      <c r="E20" s="137">
        <v>4.5529999999999999</v>
      </c>
      <c r="F20" s="137">
        <v>202</v>
      </c>
      <c r="G20" s="137">
        <v>919.70600000000002</v>
      </c>
      <c r="H20" s="137">
        <v>189</v>
      </c>
      <c r="I20" s="137">
        <v>860.51700000000005</v>
      </c>
      <c r="J20" s="137">
        <v>13</v>
      </c>
      <c r="K20" s="137">
        <v>59.189</v>
      </c>
      <c r="L20" s="138">
        <v>59.189</v>
      </c>
      <c r="M20" s="139">
        <v>0</v>
      </c>
      <c r="N20" s="140">
        <v>59.189</v>
      </c>
      <c r="O20" s="141" t="s">
        <v>492</v>
      </c>
      <c r="P20" s="142"/>
      <c r="Q20" s="143"/>
    </row>
    <row r="21" spans="1:17" s="144" customFormat="1" ht="31.5" customHeight="1" x14ac:dyDescent="0.2">
      <c r="A21" s="133"/>
      <c r="B21" s="134">
        <v>10203037848</v>
      </c>
      <c r="C21" s="135" t="s">
        <v>200</v>
      </c>
      <c r="D21" s="136" t="s">
        <v>65</v>
      </c>
      <c r="E21" s="137">
        <v>0.48399999999999999</v>
      </c>
      <c r="F21" s="137">
        <v>164</v>
      </c>
      <c r="G21" s="137">
        <v>79.376000000000005</v>
      </c>
      <c r="H21" s="137">
        <v>123</v>
      </c>
      <c r="I21" s="137">
        <v>59.531999999999996</v>
      </c>
      <c r="J21" s="137">
        <v>41</v>
      </c>
      <c r="K21" s="137">
        <v>19.844000000000001</v>
      </c>
      <c r="L21" s="138">
        <v>19.844000000000001</v>
      </c>
      <c r="M21" s="139">
        <v>0</v>
      </c>
      <c r="N21" s="140">
        <v>19.844000000000001</v>
      </c>
      <c r="O21" s="141" t="s">
        <v>493</v>
      </c>
      <c r="P21" s="142"/>
      <c r="Q21" s="143"/>
    </row>
    <row r="22" spans="1:17" s="144" customFormat="1" ht="31.5" customHeight="1" x14ac:dyDescent="0.2">
      <c r="A22" s="133"/>
      <c r="B22" s="134">
        <v>101080156</v>
      </c>
      <c r="C22" s="135" t="s">
        <v>454</v>
      </c>
      <c r="D22" s="136" t="s">
        <v>58</v>
      </c>
      <c r="E22" s="137">
        <v>0.71399999999999997</v>
      </c>
      <c r="F22" s="137">
        <v>114</v>
      </c>
      <c r="G22" s="137">
        <v>81.396000000000001</v>
      </c>
      <c r="H22" s="137">
        <v>107</v>
      </c>
      <c r="I22" s="137">
        <v>76.397999999999996</v>
      </c>
      <c r="J22" s="137">
        <v>7</v>
      </c>
      <c r="K22" s="137">
        <v>4.9980000000000002</v>
      </c>
      <c r="L22" s="138">
        <v>4.9980000000000002</v>
      </c>
      <c r="M22" s="139">
        <v>0</v>
      </c>
      <c r="N22" s="140">
        <v>4.9980000000000002</v>
      </c>
      <c r="O22" s="141" t="s">
        <v>494</v>
      </c>
      <c r="P22" s="142"/>
      <c r="Q22" s="143"/>
    </row>
    <row r="23" spans="1:17" s="144" customFormat="1" ht="31.5" customHeight="1" x14ac:dyDescent="0.2">
      <c r="A23" s="133"/>
      <c r="B23" s="134">
        <v>10208043200</v>
      </c>
      <c r="C23" s="135" t="s">
        <v>320</v>
      </c>
      <c r="D23" s="136" t="s">
        <v>54</v>
      </c>
      <c r="E23" s="137">
        <v>20.78</v>
      </c>
      <c r="F23" s="137">
        <v>12</v>
      </c>
      <c r="G23" s="137">
        <v>249.36</v>
      </c>
      <c r="H23" s="137">
        <v>11</v>
      </c>
      <c r="I23" s="137">
        <v>228.58</v>
      </c>
      <c r="J23" s="137">
        <v>1</v>
      </c>
      <c r="K23" s="137">
        <v>20.78</v>
      </c>
      <c r="L23" s="138">
        <v>20.78</v>
      </c>
      <c r="M23" s="139">
        <v>0</v>
      </c>
      <c r="N23" s="140">
        <v>20.78</v>
      </c>
      <c r="O23" s="141" t="s">
        <v>495</v>
      </c>
      <c r="P23" s="142"/>
      <c r="Q23" s="143"/>
    </row>
    <row r="24" spans="1:17" s="144" customFormat="1" ht="31.5" customHeight="1" x14ac:dyDescent="0.2">
      <c r="A24" s="133"/>
      <c r="B24" s="134">
        <v>10208043257</v>
      </c>
      <c r="C24" s="135" t="s">
        <v>321</v>
      </c>
      <c r="D24" s="136" t="s">
        <v>54</v>
      </c>
      <c r="E24" s="137">
        <v>20.78</v>
      </c>
      <c r="F24" s="137">
        <v>38</v>
      </c>
      <c r="G24" s="137">
        <v>789.64</v>
      </c>
      <c r="H24" s="137">
        <v>35</v>
      </c>
      <c r="I24" s="137">
        <v>727.3</v>
      </c>
      <c r="J24" s="137">
        <v>3</v>
      </c>
      <c r="K24" s="137">
        <v>62.34</v>
      </c>
      <c r="L24" s="138">
        <v>62.34</v>
      </c>
      <c r="M24" s="139">
        <v>0</v>
      </c>
      <c r="N24" s="140">
        <v>62.34</v>
      </c>
      <c r="O24" s="141" t="s">
        <v>486</v>
      </c>
      <c r="P24" s="142"/>
      <c r="Q24" s="143"/>
    </row>
    <row r="25" spans="1:17" s="144" customFormat="1" ht="31.5" customHeight="1" x14ac:dyDescent="0.2">
      <c r="A25" s="133"/>
      <c r="B25" s="134">
        <v>1010627003</v>
      </c>
      <c r="C25" s="135" t="s">
        <v>99</v>
      </c>
      <c r="D25" s="136" t="s">
        <v>54</v>
      </c>
      <c r="E25" s="137">
        <v>67.78</v>
      </c>
      <c r="F25" s="137">
        <v>13</v>
      </c>
      <c r="G25" s="137">
        <v>881.14</v>
      </c>
      <c r="H25" s="137">
        <v>14</v>
      </c>
      <c r="I25" s="137">
        <v>948.92</v>
      </c>
      <c r="J25" s="137">
        <v>-1</v>
      </c>
      <c r="K25" s="137">
        <v>-67.78</v>
      </c>
      <c r="L25" s="138">
        <v>0</v>
      </c>
      <c r="M25" s="139">
        <v>-67.78</v>
      </c>
      <c r="N25" s="140">
        <v>67.78</v>
      </c>
      <c r="O25" s="141" t="s">
        <v>496</v>
      </c>
      <c r="P25" s="142"/>
      <c r="Q25" s="143"/>
    </row>
    <row r="26" spans="1:17" s="144" customFormat="1" ht="31.5" customHeight="1" x14ac:dyDescent="0.2">
      <c r="A26" s="133"/>
      <c r="B26" s="134">
        <v>4020131181</v>
      </c>
      <c r="C26" s="135" t="s">
        <v>104</v>
      </c>
      <c r="D26" s="136" t="s">
        <v>51</v>
      </c>
      <c r="E26" s="137">
        <v>10.215999999999999</v>
      </c>
      <c r="F26" s="137">
        <v>105</v>
      </c>
      <c r="G26" s="137">
        <v>1072.68</v>
      </c>
      <c r="H26" s="137">
        <v>103</v>
      </c>
      <c r="I26" s="137">
        <v>1052.248</v>
      </c>
      <c r="J26" s="137">
        <v>2</v>
      </c>
      <c r="K26" s="137">
        <v>20.431999999999999</v>
      </c>
      <c r="L26" s="138">
        <v>20.431999999999999</v>
      </c>
      <c r="M26" s="139">
        <v>0</v>
      </c>
      <c r="N26" s="140">
        <v>20.431999999999999</v>
      </c>
      <c r="O26" s="141" t="s">
        <v>497</v>
      </c>
      <c r="P26" s="142"/>
      <c r="Q26" s="143"/>
    </row>
    <row r="27" spans="1:17" s="144" customFormat="1" ht="31.5" customHeight="1" x14ac:dyDescent="0.2">
      <c r="A27" s="133"/>
      <c r="B27" s="134">
        <v>1020132345</v>
      </c>
      <c r="C27" s="135" t="s">
        <v>108</v>
      </c>
      <c r="D27" s="136" t="s">
        <v>54</v>
      </c>
      <c r="E27" s="137">
        <v>1.84</v>
      </c>
      <c r="F27" s="137">
        <v>23</v>
      </c>
      <c r="G27" s="137">
        <v>42.32</v>
      </c>
      <c r="H27" s="137">
        <v>39</v>
      </c>
      <c r="I27" s="137">
        <v>71.760000000000005</v>
      </c>
      <c r="J27" s="137">
        <v>-16</v>
      </c>
      <c r="K27" s="137">
        <v>-29.44</v>
      </c>
      <c r="L27" s="138">
        <v>0</v>
      </c>
      <c r="M27" s="139">
        <v>-29.44</v>
      </c>
      <c r="N27" s="140">
        <v>29.44</v>
      </c>
      <c r="O27" s="141" t="s">
        <v>493</v>
      </c>
      <c r="P27" s="142"/>
      <c r="Q27" s="143"/>
    </row>
    <row r="28" spans="1:17" s="144" customFormat="1" ht="31.5" customHeight="1" x14ac:dyDescent="0.2">
      <c r="A28" s="133"/>
      <c r="B28" s="134">
        <v>5060333619</v>
      </c>
      <c r="C28" s="135" t="s">
        <v>421</v>
      </c>
      <c r="D28" s="136" t="s">
        <v>48</v>
      </c>
      <c r="E28" s="137">
        <v>22.9</v>
      </c>
      <c r="F28" s="137">
        <v>3</v>
      </c>
      <c r="G28" s="137">
        <v>68.7</v>
      </c>
      <c r="H28" s="137">
        <v>2</v>
      </c>
      <c r="I28" s="137">
        <v>45.8</v>
      </c>
      <c r="J28" s="137">
        <v>1</v>
      </c>
      <c r="K28" s="137">
        <v>22.9</v>
      </c>
      <c r="L28" s="138">
        <v>22.9</v>
      </c>
      <c r="M28" s="139">
        <v>0</v>
      </c>
      <c r="N28" s="140">
        <v>22.9</v>
      </c>
      <c r="O28" s="141" t="s">
        <v>498</v>
      </c>
      <c r="P28" s="142"/>
      <c r="Q28" s="143"/>
    </row>
    <row r="29" spans="1:17" s="144" customFormat="1" ht="31.5" customHeight="1" x14ac:dyDescent="0.2">
      <c r="A29" s="133"/>
      <c r="B29" s="134">
        <v>10107039479</v>
      </c>
      <c r="C29" s="135" t="s">
        <v>115</v>
      </c>
      <c r="D29" s="136" t="s">
        <v>54</v>
      </c>
      <c r="E29" s="137">
        <v>5.69</v>
      </c>
      <c r="F29" s="137">
        <v>448</v>
      </c>
      <c r="G29" s="137">
        <v>2549.12</v>
      </c>
      <c r="H29" s="137">
        <v>445</v>
      </c>
      <c r="I29" s="137">
        <v>2532.0500000000002</v>
      </c>
      <c r="J29" s="137">
        <v>3</v>
      </c>
      <c r="K29" s="137">
        <v>17.07</v>
      </c>
      <c r="L29" s="138">
        <v>17.07</v>
      </c>
      <c r="M29" s="139">
        <v>0</v>
      </c>
      <c r="N29" s="140">
        <v>17.07</v>
      </c>
      <c r="O29" s="141" t="s">
        <v>499</v>
      </c>
      <c r="P29" s="142"/>
      <c r="Q29" s="143"/>
    </row>
    <row r="30" spans="1:17" s="144" customFormat="1" ht="31.5" customHeight="1" x14ac:dyDescent="0.2">
      <c r="A30" s="133"/>
      <c r="B30" s="134">
        <v>70046</v>
      </c>
      <c r="C30" s="135" t="s">
        <v>116</v>
      </c>
      <c r="D30" s="136" t="s">
        <v>51</v>
      </c>
      <c r="E30" s="137">
        <v>5.12</v>
      </c>
      <c r="F30" s="137">
        <v>105</v>
      </c>
      <c r="G30" s="137">
        <v>537.6</v>
      </c>
      <c r="H30" s="137">
        <v>100.5</v>
      </c>
      <c r="I30" s="137">
        <v>514.55999999999995</v>
      </c>
      <c r="J30" s="137">
        <v>4.5</v>
      </c>
      <c r="K30" s="137">
        <v>23.04</v>
      </c>
      <c r="L30" s="138">
        <v>23.04</v>
      </c>
      <c r="M30" s="139">
        <v>0</v>
      </c>
      <c r="N30" s="140">
        <v>23.04</v>
      </c>
      <c r="O30" s="141" t="s">
        <v>500</v>
      </c>
      <c r="P30" s="142"/>
      <c r="Q30" s="143"/>
    </row>
    <row r="31" spans="1:17" s="144" customFormat="1" ht="31.5" customHeight="1" x14ac:dyDescent="0.2">
      <c r="A31" s="133"/>
      <c r="B31" s="134">
        <v>10103039165</v>
      </c>
      <c r="C31" s="135" t="s">
        <v>207</v>
      </c>
      <c r="D31" s="136" t="s">
        <v>54</v>
      </c>
      <c r="E31" s="137">
        <v>1.3160000000000001</v>
      </c>
      <c r="F31" s="137">
        <v>97</v>
      </c>
      <c r="G31" s="137">
        <v>127.652</v>
      </c>
      <c r="H31" s="137">
        <v>98</v>
      </c>
      <c r="I31" s="137">
        <v>128.96799999999999</v>
      </c>
      <c r="J31" s="137">
        <v>-1</v>
      </c>
      <c r="K31" s="137">
        <v>-1.3160000000000001</v>
      </c>
      <c r="L31" s="138">
        <v>0</v>
      </c>
      <c r="M31" s="139">
        <v>-1.3160000000000001</v>
      </c>
      <c r="N31" s="140">
        <v>1.3160000000000001</v>
      </c>
      <c r="O31" s="141" t="s">
        <v>501</v>
      </c>
      <c r="P31" s="142"/>
      <c r="Q31" s="143"/>
    </row>
    <row r="32" spans="1:17" s="144" customFormat="1" ht="31.5" customHeight="1" x14ac:dyDescent="0.2">
      <c r="A32" s="133"/>
      <c r="B32" s="134">
        <v>102020062</v>
      </c>
      <c r="C32" s="135" t="s">
        <v>121</v>
      </c>
      <c r="D32" s="136" t="s">
        <v>51</v>
      </c>
      <c r="E32" s="137">
        <v>4.17</v>
      </c>
      <c r="F32" s="137">
        <v>25</v>
      </c>
      <c r="G32" s="137">
        <v>104.25</v>
      </c>
      <c r="H32" s="137">
        <v>43.61</v>
      </c>
      <c r="I32" s="137">
        <v>181.8537</v>
      </c>
      <c r="J32" s="137">
        <v>-18.61</v>
      </c>
      <c r="K32" s="137">
        <v>-77.603700000000003</v>
      </c>
      <c r="L32" s="138">
        <v>0</v>
      </c>
      <c r="M32" s="139">
        <v>-77.603700000000003</v>
      </c>
      <c r="N32" s="140">
        <v>77.603700000000003</v>
      </c>
      <c r="O32" s="141" t="s">
        <v>502</v>
      </c>
      <c r="P32" s="142"/>
      <c r="Q32" s="143"/>
    </row>
    <row r="33" spans="1:17" s="144" customFormat="1" ht="31.5" customHeight="1" x14ac:dyDescent="0.2">
      <c r="A33" s="133"/>
      <c r="B33" s="134">
        <v>1020137022</v>
      </c>
      <c r="C33" s="135" t="s">
        <v>126</v>
      </c>
      <c r="D33" s="136" t="s">
        <v>127</v>
      </c>
      <c r="E33" s="137">
        <v>0.26</v>
      </c>
      <c r="F33" s="137">
        <v>2800</v>
      </c>
      <c r="G33" s="137">
        <v>728</v>
      </c>
      <c r="H33" s="137">
        <v>3000</v>
      </c>
      <c r="I33" s="137">
        <v>780</v>
      </c>
      <c r="J33" s="137">
        <v>-200</v>
      </c>
      <c r="K33" s="137">
        <v>-52</v>
      </c>
      <c r="L33" s="138">
        <v>0</v>
      </c>
      <c r="M33" s="139">
        <v>-52</v>
      </c>
      <c r="N33" s="140">
        <v>52</v>
      </c>
      <c r="O33" s="141" t="s">
        <v>503</v>
      </c>
      <c r="P33" s="142"/>
      <c r="Q33" s="143"/>
    </row>
    <row r="34" spans="1:17" s="144" customFormat="1" ht="31.5" customHeight="1" x14ac:dyDescent="0.2">
      <c r="A34" s="133"/>
      <c r="B34" s="134">
        <v>40104041508</v>
      </c>
      <c r="C34" s="135" t="s">
        <v>333</v>
      </c>
      <c r="D34" s="136" t="s">
        <v>51</v>
      </c>
      <c r="E34" s="137">
        <v>18.239999999999998</v>
      </c>
      <c r="F34" s="137">
        <v>75</v>
      </c>
      <c r="G34" s="137">
        <v>1368</v>
      </c>
      <c r="H34" s="137">
        <v>80</v>
      </c>
      <c r="I34" s="137">
        <v>1459.2</v>
      </c>
      <c r="J34" s="137">
        <v>-5</v>
      </c>
      <c r="K34" s="137">
        <v>-91.2</v>
      </c>
      <c r="L34" s="138">
        <v>0</v>
      </c>
      <c r="M34" s="139">
        <v>-91.2</v>
      </c>
      <c r="N34" s="140">
        <v>91.2</v>
      </c>
      <c r="O34" s="141" t="s">
        <v>504</v>
      </c>
      <c r="P34" s="142"/>
      <c r="Q34" s="143"/>
    </row>
    <row r="35" spans="1:17" s="144" customFormat="1" ht="31.5" customHeight="1" x14ac:dyDescent="0.2">
      <c r="A35" s="133"/>
      <c r="B35" s="134">
        <v>103020018</v>
      </c>
      <c r="C35" s="135" t="s">
        <v>129</v>
      </c>
      <c r="D35" s="136" t="s">
        <v>51</v>
      </c>
      <c r="E35" s="137">
        <v>9.2194280000000006</v>
      </c>
      <c r="F35" s="137">
        <v>57</v>
      </c>
      <c r="G35" s="137">
        <v>525.50739599999997</v>
      </c>
      <c r="H35" s="137">
        <v>57.02</v>
      </c>
      <c r="I35" s="137">
        <v>525.69178499999998</v>
      </c>
      <c r="J35" s="137">
        <v>-0.02</v>
      </c>
      <c r="K35" s="137">
        <v>-0.184389</v>
      </c>
      <c r="L35" s="138">
        <v>0</v>
      </c>
      <c r="M35" s="139">
        <v>-0.184389</v>
      </c>
      <c r="N35" s="140">
        <v>0.184389</v>
      </c>
      <c r="O35" s="141" t="s">
        <v>505</v>
      </c>
      <c r="P35" s="142"/>
      <c r="Q35" s="143"/>
    </row>
    <row r="36" spans="1:17" s="144" customFormat="1" ht="31.5" customHeight="1" x14ac:dyDescent="0.2">
      <c r="A36" s="133"/>
      <c r="B36" s="134">
        <v>101050521</v>
      </c>
      <c r="C36" s="135" t="s">
        <v>130</v>
      </c>
      <c r="D36" s="136" t="s">
        <v>113</v>
      </c>
      <c r="E36" s="137">
        <v>15.330000999999999</v>
      </c>
      <c r="F36" s="137">
        <v>5</v>
      </c>
      <c r="G36" s="137">
        <v>76.650004999999993</v>
      </c>
      <c r="H36" s="137">
        <v>4</v>
      </c>
      <c r="I36" s="137">
        <v>61.320003999999997</v>
      </c>
      <c r="J36" s="137">
        <v>1</v>
      </c>
      <c r="K36" s="137">
        <v>15.330000999999999</v>
      </c>
      <c r="L36" s="138">
        <v>15.330000999999999</v>
      </c>
      <c r="M36" s="139">
        <v>0</v>
      </c>
      <c r="N36" s="140">
        <v>15.330000999999999</v>
      </c>
      <c r="O36" s="141" t="s">
        <v>506</v>
      </c>
      <c r="P36" s="142"/>
      <c r="Q36" s="143"/>
    </row>
    <row r="37" spans="1:17" s="144" customFormat="1" ht="31.5" customHeight="1" x14ac:dyDescent="0.2">
      <c r="A37" s="133"/>
      <c r="B37" s="134">
        <v>50608042363</v>
      </c>
      <c r="C37" s="135" t="s">
        <v>290</v>
      </c>
      <c r="D37" s="136" t="s">
        <v>54</v>
      </c>
      <c r="E37" s="137">
        <v>15.5</v>
      </c>
      <c r="F37" s="137">
        <v>5</v>
      </c>
      <c r="G37" s="137">
        <v>77.5</v>
      </c>
      <c r="H37" s="137">
        <v>4</v>
      </c>
      <c r="I37" s="137">
        <v>62</v>
      </c>
      <c r="J37" s="137">
        <v>1</v>
      </c>
      <c r="K37" s="137">
        <v>15.5</v>
      </c>
      <c r="L37" s="138">
        <v>15.5</v>
      </c>
      <c r="M37" s="139">
        <v>0</v>
      </c>
      <c r="N37" s="140">
        <v>15.5</v>
      </c>
      <c r="O37" s="141" t="s">
        <v>507</v>
      </c>
      <c r="P37" s="142"/>
      <c r="Q37" s="143"/>
    </row>
    <row r="38" spans="1:17" s="144" customFormat="1" ht="31.5" customHeight="1" x14ac:dyDescent="0.2">
      <c r="A38" s="133"/>
      <c r="B38" s="134">
        <v>1020233297</v>
      </c>
      <c r="C38" s="135" t="s">
        <v>334</v>
      </c>
      <c r="D38" s="136" t="s">
        <v>54</v>
      </c>
      <c r="E38" s="137">
        <v>12.2</v>
      </c>
      <c r="F38" s="137">
        <v>66</v>
      </c>
      <c r="G38" s="137">
        <v>805.2</v>
      </c>
      <c r="H38" s="137">
        <v>64</v>
      </c>
      <c r="I38" s="137">
        <v>780.8</v>
      </c>
      <c r="J38" s="137">
        <v>2</v>
      </c>
      <c r="K38" s="137">
        <v>24.4</v>
      </c>
      <c r="L38" s="138">
        <v>24.4</v>
      </c>
      <c r="M38" s="139">
        <v>0</v>
      </c>
      <c r="N38" s="140">
        <v>24.4</v>
      </c>
      <c r="O38" s="141" t="s">
        <v>508</v>
      </c>
      <c r="P38" s="142"/>
      <c r="Q38" s="143"/>
    </row>
    <row r="39" spans="1:17" s="144" customFormat="1" ht="31.5" customHeight="1" x14ac:dyDescent="0.2">
      <c r="A39" s="133"/>
      <c r="B39" s="134">
        <v>400001</v>
      </c>
      <c r="C39" s="135" t="s">
        <v>144</v>
      </c>
      <c r="D39" s="136" t="s">
        <v>51</v>
      </c>
      <c r="E39" s="137">
        <v>8.15</v>
      </c>
      <c r="F39" s="137">
        <v>11</v>
      </c>
      <c r="G39" s="137">
        <v>89.65</v>
      </c>
      <c r="H39" s="137">
        <v>10</v>
      </c>
      <c r="I39" s="137">
        <v>81.5</v>
      </c>
      <c r="J39" s="137">
        <v>1</v>
      </c>
      <c r="K39" s="137">
        <v>8.15</v>
      </c>
      <c r="L39" s="138">
        <v>8.15</v>
      </c>
      <c r="M39" s="139">
        <v>0</v>
      </c>
      <c r="N39" s="140">
        <v>8.15</v>
      </c>
      <c r="O39" s="141" t="s">
        <v>509</v>
      </c>
      <c r="P39" s="142"/>
      <c r="Q39" s="143"/>
    </row>
    <row r="40" spans="1:17" s="144" customFormat="1" ht="31.5" customHeight="1" x14ac:dyDescent="0.2">
      <c r="A40" s="133"/>
      <c r="B40" s="134">
        <v>102020015</v>
      </c>
      <c r="C40" s="135" t="s">
        <v>208</v>
      </c>
      <c r="D40" s="136" t="s">
        <v>51</v>
      </c>
      <c r="E40" s="137">
        <v>8.5</v>
      </c>
      <c r="F40" s="137">
        <v>17</v>
      </c>
      <c r="G40" s="137">
        <v>144.5</v>
      </c>
      <c r="H40" s="137">
        <v>18</v>
      </c>
      <c r="I40" s="137">
        <v>153</v>
      </c>
      <c r="J40" s="137">
        <v>-1</v>
      </c>
      <c r="K40" s="137">
        <v>-8.5</v>
      </c>
      <c r="L40" s="138">
        <v>0</v>
      </c>
      <c r="M40" s="139">
        <v>-8.5</v>
      </c>
      <c r="N40" s="140">
        <v>8.5</v>
      </c>
      <c r="O40" s="141" t="s">
        <v>510</v>
      </c>
      <c r="P40" s="142"/>
      <c r="Q40" s="143"/>
    </row>
    <row r="41" spans="1:17" s="144" customFormat="1" ht="31.5" customHeight="1" x14ac:dyDescent="0.2">
      <c r="A41" s="133"/>
      <c r="B41" s="134">
        <v>102010021</v>
      </c>
      <c r="C41" s="135" t="s">
        <v>147</v>
      </c>
      <c r="D41" s="136" t="s">
        <v>51</v>
      </c>
      <c r="E41" s="137">
        <v>5.6</v>
      </c>
      <c r="F41" s="137">
        <v>12.25</v>
      </c>
      <c r="G41" s="137">
        <v>68.599999999999994</v>
      </c>
      <c r="H41" s="137">
        <v>11.25</v>
      </c>
      <c r="I41" s="137">
        <v>63</v>
      </c>
      <c r="J41" s="137">
        <v>1</v>
      </c>
      <c r="K41" s="137">
        <v>5.6</v>
      </c>
      <c r="L41" s="138">
        <v>5.6</v>
      </c>
      <c r="M41" s="139">
        <v>0</v>
      </c>
      <c r="N41" s="140">
        <v>5.6</v>
      </c>
      <c r="O41" s="141" t="s">
        <v>511</v>
      </c>
      <c r="P41" s="142"/>
      <c r="Q41" s="143"/>
    </row>
    <row r="42" spans="1:17" s="144" customFormat="1" ht="31.5" customHeight="1" x14ac:dyDescent="0.2">
      <c r="A42" s="133"/>
      <c r="B42" s="134">
        <v>103020024</v>
      </c>
      <c r="C42" s="135" t="s">
        <v>148</v>
      </c>
      <c r="D42" s="136" t="s">
        <v>51</v>
      </c>
      <c r="E42" s="137">
        <v>13.2</v>
      </c>
      <c r="F42" s="137">
        <v>164.1</v>
      </c>
      <c r="G42" s="137">
        <v>2166.12</v>
      </c>
      <c r="H42" s="137">
        <v>164.095</v>
      </c>
      <c r="I42" s="137">
        <v>2166.0540000000001</v>
      </c>
      <c r="J42" s="137">
        <v>5.0000000000000001E-3</v>
      </c>
      <c r="K42" s="137">
        <v>6.6000000000000003E-2</v>
      </c>
      <c r="L42" s="138">
        <v>6.6000000000000003E-2</v>
      </c>
      <c r="M42" s="139">
        <v>0</v>
      </c>
      <c r="N42" s="140">
        <v>6.6000000000000003E-2</v>
      </c>
      <c r="O42" s="141" t="s">
        <v>512</v>
      </c>
      <c r="P42" s="142"/>
      <c r="Q42" s="143"/>
    </row>
    <row r="43" spans="1:17" s="144" customFormat="1" ht="31.5" customHeight="1" x14ac:dyDescent="0.2">
      <c r="A43" s="133"/>
      <c r="B43" s="134">
        <v>102020016</v>
      </c>
      <c r="C43" s="135" t="s">
        <v>150</v>
      </c>
      <c r="D43" s="136" t="s">
        <v>51</v>
      </c>
      <c r="E43" s="137">
        <v>3.33</v>
      </c>
      <c r="F43" s="137">
        <v>329.8</v>
      </c>
      <c r="G43" s="137">
        <v>1098.2339999999999</v>
      </c>
      <c r="H43" s="137">
        <v>329.7</v>
      </c>
      <c r="I43" s="137">
        <v>1097.9010000000001</v>
      </c>
      <c r="J43" s="137">
        <v>0.1</v>
      </c>
      <c r="K43" s="137">
        <v>0.33300000000000002</v>
      </c>
      <c r="L43" s="138">
        <v>0.33300000000000002</v>
      </c>
      <c r="M43" s="139">
        <v>0</v>
      </c>
      <c r="N43" s="140">
        <v>0.33300000000000002</v>
      </c>
      <c r="O43" s="141" t="s">
        <v>513</v>
      </c>
      <c r="P43" s="142"/>
      <c r="Q43" s="143"/>
    </row>
    <row r="44" spans="1:17" s="144" customFormat="1" ht="31.5" customHeight="1" x14ac:dyDescent="0.2">
      <c r="A44" s="133"/>
      <c r="B44" s="134">
        <v>102020017</v>
      </c>
      <c r="C44" s="135" t="s">
        <v>209</v>
      </c>
      <c r="D44" s="136" t="s">
        <v>51</v>
      </c>
      <c r="E44" s="137">
        <v>5</v>
      </c>
      <c r="F44" s="137">
        <v>11</v>
      </c>
      <c r="G44" s="137">
        <v>55</v>
      </c>
      <c r="H44" s="137">
        <v>25</v>
      </c>
      <c r="I44" s="137">
        <v>125</v>
      </c>
      <c r="J44" s="137">
        <v>-14</v>
      </c>
      <c r="K44" s="137">
        <v>-70</v>
      </c>
      <c r="L44" s="138">
        <v>0</v>
      </c>
      <c r="M44" s="139">
        <v>-70</v>
      </c>
      <c r="N44" s="140">
        <v>70</v>
      </c>
      <c r="O44" s="141" t="s">
        <v>504</v>
      </c>
      <c r="P44" s="142"/>
      <c r="Q44" s="143"/>
    </row>
    <row r="45" spans="1:17" s="144" customFormat="1" ht="31.5" customHeight="1" x14ac:dyDescent="0.2">
      <c r="A45" s="133"/>
      <c r="B45" s="134">
        <v>1020234853</v>
      </c>
      <c r="C45" s="135" t="s">
        <v>372</v>
      </c>
      <c r="D45" s="136" t="s">
        <v>54</v>
      </c>
      <c r="E45" s="137">
        <v>8.8708939999999998</v>
      </c>
      <c r="F45" s="137">
        <v>54</v>
      </c>
      <c r="G45" s="137">
        <v>479.02827600000001</v>
      </c>
      <c r="H45" s="137">
        <v>62</v>
      </c>
      <c r="I45" s="137">
        <v>549.99542799999995</v>
      </c>
      <c r="J45" s="137">
        <v>-8</v>
      </c>
      <c r="K45" s="137">
        <v>-70.967151999999999</v>
      </c>
      <c r="L45" s="138">
        <v>0</v>
      </c>
      <c r="M45" s="139">
        <v>-70.967151999999999</v>
      </c>
      <c r="N45" s="140">
        <v>70.967151999999999</v>
      </c>
      <c r="O45" s="141" t="s">
        <v>514</v>
      </c>
      <c r="P45" s="142"/>
      <c r="Q45" s="143"/>
    </row>
    <row r="46" spans="1:17" s="144" customFormat="1" ht="31.5" customHeight="1" x14ac:dyDescent="0.2">
      <c r="A46" s="133"/>
      <c r="B46" s="134">
        <v>102030081</v>
      </c>
      <c r="C46" s="135" t="s">
        <v>160</v>
      </c>
      <c r="D46" s="136" t="s">
        <v>65</v>
      </c>
      <c r="E46" s="137">
        <v>18.11</v>
      </c>
      <c r="F46" s="137">
        <v>0</v>
      </c>
      <c r="G46" s="137">
        <v>0</v>
      </c>
      <c r="H46" s="137">
        <v>0.4</v>
      </c>
      <c r="I46" s="137">
        <v>7.2439999999999998</v>
      </c>
      <c r="J46" s="137">
        <v>-0.4</v>
      </c>
      <c r="K46" s="137">
        <v>-7.2439999999999998</v>
      </c>
      <c r="L46" s="138">
        <v>0</v>
      </c>
      <c r="M46" s="139">
        <v>-7.2439999999999998</v>
      </c>
      <c r="N46" s="140">
        <v>7.2439999999999998</v>
      </c>
      <c r="O46" s="141" t="s">
        <v>515</v>
      </c>
      <c r="P46" s="142"/>
      <c r="Q46" s="143"/>
    </row>
    <row r="47" spans="1:17" s="144" customFormat="1" ht="31.5" customHeight="1" x14ac:dyDescent="0.2">
      <c r="A47" s="133"/>
      <c r="B47" s="134">
        <v>102010025</v>
      </c>
      <c r="C47" s="135" t="s">
        <v>431</v>
      </c>
      <c r="D47" s="136" t="s">
        <v>51</v>
      </c>
      <c r="E47" s="137">
        <v>5.71</v>
      </c>
      <c r="F47" s="137">
        <v>22.6</v>
      </c>
      <c r="G47" s="137">
        <v>129.04599999999999</v>
      </c>
      <c r="H47" s="137">
        <v>22.1</v>
      </c>
      <c r="I47" s="137">
        <v>126.191</v>
      </c>
      <c r="J47" s="137">
        <v>0.5</v>
      </c>
      <c r="K47" s="137">
        <v>2.855</v>
      </c>
      <c r="L47" s="138">
        <v>2.855</v>
      </c>
      <c r="M47" s="139">
        <v>0</v>
      </c>
      <c r="N47" s="140">
        <v>2.855</v>
      </c>
      <c r="O47" s="145" t="s">
        <v>516</v>
      </c>
      <c r="P47" s="142"/>
      <c r="Q47" s="143"/>
    </row>
    <row r="48" spans="1:17" s="144" customFormat="1" ht="31.5" customHeight="1" x14ac:dyDescent="0.2">
      <c r="A48" s="133"/>
      <c r="B48" s="134">
        <v>40108037514</v>
      </c>
      <c r="C48" s="135" t="s">
        <v>399</v>
      </c>
      <c r="D48" s="136" t="s">
        <v>51</v>
      </c>
      <c r="E48" s="137">
        <v>31.38</v>
      </c>
      <c r="F48" s="137">
        <v>171.95</v>
      </c>
      <c r="G48" s="137">
        <v>5395.7910000000002</v>
      </c>
      <c r="H48" s="137">
        <v>171.25</v>
      </c>
      <c r="I48" s="137">
        <v>5373.8249999999998</v>
      </c>
      <c r="J48" s="137">
        <v>0.7</v>
      </c>
      <c r="K48" s="137">
        <v>21.966000000000001</v>
      </c>
      <c r="L48" s="138">
        <v>21.966000000000001</v>
      </c>
      <c r="M48" s="139">
        <v>0</v>
      </c>
      <c r="N48" s="140">
        <v>21.966000000000001</v>
      </c>
      <c r="O48" s="145" t="s">
        <v>517</v>
      </c>
      <c r="P48" s="142"/>
      <c r="Q48" s="143"/>
    </row>
    <row r="49" spans="1:17" s="144" customFormat="1" ht="31.5" customHeight="1" x14ac:dyDescent="0.2">
      <c r="A49" s="133"/>
      <c r="B49" s="134">
        <v>40108037515</v>
      </c>
      <c r="C49" s="135" t="s">
        <v>400</v>
      </c>
      <c r="D49" s="136" t="s">
        <v>51</v>
      </c>
      <c r="E49" s="137">
        <v>25.989974</v>
      </c>
      <c r="F49" s="137">
        <v>234</v>
      </c>
      <c r="G49" s="137">
        <v>6081.6539160000002</v>
      </c>
      <c r="H49" s="137">
        <v>235.36500000000001</v>
      </c>
      <c r="I49" s="137">
        <v>6117.1302310000001</v>
      </c>
      <c r="J49" s="137">
        <v>-1.365</v>
      </c>
      <c r="K49" s="137">
        <v>-35.476315</v>
      </c>
      <c r="L49" s="138">
        <v>0</v>
      </c>
      <c r="M49" s="139">
        <v>-35.476315</v>
      </c>
      <c r="N49" s="140">
        <v>35.476315</v>
      </c>
      <c r="O49" s="145" t="s">
        <v>505</v>
      </c>
      <c r="P49" s="142"/>
      <c r="Q49" s="143"/>
    </row>
    <row r="50" spans="1:17" s="144" customFormat="1" ht="31.5" customHeight="1" x14ac:dyDescent="0.2">
      <c r="A50" s="133"/>
      <c r="B50" s="134">
        <v>102010034</v>
      </c>
      <c r="C50" s="135" t="s">
        <v>338</v>
      </c>
      <c r="D50" s="136" t="s">
        <v>51</v>
      </c>
      <c r="E50" s="137">
        <v>6.5</v>
      </c>
      <c r="F50" s="137">
        <v>25</v>
      </c>
      <c r="G50" s="137">
        <v>162.5</v>
      </c>
      <c r="H50" s="137">
        <v>24.97</v>
      </c>
      <c r="I50" s="137">
        <v>162.30500000000001</v>
      </c>
      <c r="J50" s="137">
        <v>0.03</v>
      </c>
      <c r="K50" s="137">
        <v>0.19500000000000001</v>
      </c>
      <c r="L50" s="138">
        <v>0.19500000000000001</v>
      </c>
      <c r="M50" s="139">
        <v>0</v>
      </c>
      <c r="N50" s="140">
        <v>0.19500000000000001</v>
      </c>
      <c r="O50" s="145" t="s">
        <v>518</v>
      </c>
      <c r="P50" s="142"/>
      <c r="Q50" s="143"/>
    </row>
    <row r="51" spans="1:17" s="144" customFormat="1" ht="31.5" customHeight="1" x14ac:dyDescent="0.2">
      <c r="A51" s="133"/>
      <c r="B51" s="134">
        <v>10205042163</v>
      </c>
      <c r="C51" s="135" t="s">
        <v>294</v>
      </c>
      <c r="D51" s="136" t="s">
        <v>54</v>
      </c>
      <c r="E51" s="137">
        <v>0.84799999999999998</v>
      </c>
      <c r="F51" s="137">
        <v>500</v>
      </c>
      <c r="G51" s="137">
        <v>424</v>
      </c>
      <c r="H51" s="137">
        <v>499</v>
      </c>
      <c r="I51" s="137">
        <v>423.15199999999999</v>
      </c>
      <c r="J51" s="137">
        <v>1</v>
      </c>
      <c r="K51" s="137">
        <v>0.84799999999999998</v>
      </c>
      <c r="L51" s="138">
        <v>0.84799999999999998</v>
      </c>
      <c r="M51" s="139">
        <v>0</v>
      </c>
      <c r="N51" s="140">
        <v>0.84799999999999998</v>
      </c>
      <c r="O51" s="145" t="s">
        <v>519</v>
      </c>
      <c r="P51" s="142"/>
      <c r="Q51" s="143"/>
    </row>
    <row r="52" spans="1:17" s="144" customFormat="1" ht="31.5" customHeight="1" x14ac:dyDescent="0.2">
      <c r="A52" s="133"/>
      <c r="B52" s="134">
        <v>10209038312</v>
      </c>
      <c r="C52" s="135" t="s">
        <v>477</v>
      </c>
      <c r="D52" s="136" t="s">
        <v>89</v>
      </c>
      <c r="E52" s="137">
        <v>8.8999999999999996E-2</v>
      </c>
      <c r="F52" s="137">
        <v>2520</v>
      </c>
      <c r="G52" s="137">
        <v>224.28</v>
      </c>
      <c r="H52" s="137">
        <v>2420</v>
      </c>
      <c r="I52" s="137">
        <v>215.38</v>
      </c>
      <c r="J52" s="137">
        <v>100</v>
      </c>
      <c r="K52" s="137">
        <v>8.9</v>
      </c>
      <c r="L52" s="138">
        <v>8.9</v>
      </c>
      <c r="M52" s="139">
        <v>0</v>
      </c>
      <c r="N52" s="140">
        <v>8.9</v>
      </c>
      <c r="O52" s="145" t="s">
        <v>520</v>
      </c>
      <c r="P52" s="142"/>
      <c r="Q52" s="143"/>
    </row>
    <row r="53" spans="1:17" s="144" customFormat="1" ht="31.5" customHeight="1" x14ac:dyDescent="0.2">
      <c r="A53" s="133"/>
      <c r="B53" s="134">
        <v>102010027</v>
      </c>
      <c r="C53" s="135" t="s">
        <v>168</v>
      </c>
      <c r="D53" s="136" t="s">
        <v>51</v>
      </c>
      <c r="E53" s="137">
        <v>4.3</v>
      </c>
      <c r="F53" s="137">
        <v>90.9</v>
      </c>
      <c r="G53" s="137">
        <v>390.87</v>
      </c>
      <c r="H53" s="137">
        <v>82.9</v>
      </c>
      <c r="I53" s="137">
        <v>356.47</v>
      </c>
      <c r="J53" s="137">
        <v>8</v>
      </c>
      <c r="K53" s="137">
        <v>34.4</v>
      </c>
      <c r="L53" s="138">
        <v>34.4</v>
      </c>
      <c r="M53" s="139">
        <v>0</v>
      </c>
      <c r="N53" s="140">
        <v>34.4</v>
      </c>
      <c r="O53" s="145" t="s">
        <v>497</v>
      </c>
      <c r="P53" s="142"/>
      <c r="Q53" s="143"/>
    </row>
    <row r="54" spans="1:17" s="144" customFormat="1" ht="31.5" customHeight="1" x14ac:dyDescent="0.2">
      <c r="A54" s="133"/>
      <c r="B54" s="134" t="s">
        <v>239</v>
      </c>
      <c r="C54" s="135" t="s">
        <v>240</v>
      </c>
      <c r="D54" s="136" t="s">
        <v>65</v>
      </c>
      <c r="E54" s="137">
        <v>153.672</v>
      </c>
      <c r="F54" s="137">
        <v>3.46</v>
      </c>
      <c r="G54" s="137">
        <v>531.70511999999997</v>
      </c>
      <c r="H54" s="137">
        <v>3.4590000000000001</v>
      </c>
      <c r="I54" s="137">
        <v>531.55144800000005</v>
      </c>
      <c r="J54" s="137">
        <v>1E-3</v>
      </c>
      <c r="K54" s="137">
        <v>0.153672</v>
      </c>
      <c r="L54" s="138">
        <v>0.153672</v>
      </c>
      <c r="M54" s="139">
        <v>0</v>
      </c>
      <c r="N54" s="140">
        <v>0.153672</v>
      </c>
      <c r="O54" s="145" t="s">
        <v>521</v>
      </c>
      <c r="P54" s="142"/>
      <c r="Q54" s="143"/>
    </row>
    <row r="55" spans="1:17" s="5" customFormat="1" ht="15.75" x14ac:dyDescent="0.2">
      <c r="A55" s="41"/>
      <c r="B55" s="77"/>
      <c r="C55" s="78"/>
      <c r="D55" s="79"/>
      <c r="E55" s="80"/>
      <c r="F55" s="80"/>
      <c r="G55" s="80"/>
      <c r="H55" s="80"/>
      <c r="I55" s="80"/>
      <c r="J55" s="80"/>
      <c r="K55" s="80"/>
      <c r="L55" s="81">
        <f t="shared" ref="L55:L62" si="0">IF(K55&gt;=0,K55,0)</f>
        <v>0</v>
      </c>
      <c r="M55" s="82">
        <f t="shared" ref="M55:M62" si="1">IF(K55&lt;=0,K55,0)</f>
        <v>0</v>
      </c>
      <c r="N55" s="72">
        <f t="shared" ref="N55:N62" si="2">L55+-M55</f>
        <v>0</v>
      </c>
      <c r="O55" s="83"/>
      <c r="P55" s="46"/>
      <c r="Q55" s="8"/>
    </row>
    <row r="56" spans="1:17" s="5" customFormat="1" ht="15.75" x14ac:dyDescent="0.2">
      <c r="A56" s="41"/>
      <c r="B56" s="77"/>
      <c r="C56" s="78"/>
      <c r="D56" s="79"/>
      <c r="E56" s="80"/>
      <c r="F56" s="80"/>
      <c r="G56" s="80"/>
      <c r="H56" s="80"/>
      <c r="I56" s="80"/>
      <c r="J56" s="80"/>
      <c r="K56" s="80"/>
      <c r="L56" s="81">
        <f t="shared" si="0"/>
        <v>0</v>
      </c>
      <c r="M56" s="82">
        <f t="shared" si="1"/>
        <v>0</v>
      </c>
      <c r="N56" s="72">
        <f t="shared" si="2"/>
        <v>0</v>
      </c>
      <c r="O56" s="83"/>
      <c r="P56" s="46"/>
      <c r="Q56" s="8"/>
    </row>
    <row r="57" spans="1:17" s="5" customFormat="1" ht="15.75" x14ac:dyDescent="0.2">
      <c r="A57" s="41"/>
      <c r="B57" s="77"/>
      <c r="C57" s="78"/>
      <c r="D57" s="79"/>
      <c r="E57" s="80"/>
      <c r="F57" s="80"/>
      <c r="G57" s="80"/>
      <c r="H57" s="80"/>
      <c r="I57" s="80"/>
      <c r="J57" s="80"/>
      <c r="K57" s="80"/>
      <c r="L57" s="81">
        <f t="shared" si="0"/>
        <v>0</v>
      </c>
      <c r="M57" s="82">
        <f t="shared" si="1"/>
        <v>0</v>
      </c>
      <c r="N57" s="72">
        <f t="shared" si="2"/>
        <v>0</v>
      </c>
      <c r="O57" s="83"/>
      <c r="P57" s="46"/>
      <c r="Q57" s="8"/>
    </row>
    <row r="58" spans="1:17" s="5" customFormat="1" ht="15.75" x14ac:dyDescent="0.2">
      <c r="A58" s="41"/>
      <c r="B58" s="77"/>
      <c r="C58" s="78"/>
      <c r="D58" s="79"/>
      <c r="E58" s="80"/>
      <c r="F58" s="80"/>
      <c r="G58" s="80"/>
      <c r="H58" s="80"/>
      <c r="I58" s="80"/>
      <c r="J58" s="80"/>
      <c r="K58" s="80"/>
      <c r="L58" s="81">
        <f t="shared" si="0"/>
        <v>0</v>
      </c>
      <c r="M58" s="82">
        <f t="shared" si="1"/>
        <v>0</v>
      </c>
      <c r="N58" s="72">
        <f t="shared" si="2"/>
        <v>0</v>
      </c>
      <c r="O58" s="83"/>
      <c r="P58" s="46"/>
      <c r="Q58" s="8"/>
    </row>
    <row r="59" spans="1:17" s="5" customFormat="1" ht="15.75" x14ac:dyDescent="0.2">
      <c r="A59" s="41"/>
      <c r="B59" s="77"/>
      <c r="C59" s="78"/>
      <c r="D59" s="79"/>
      <c r="E59" s="80"/>
      <c r="F59" s="80"/>
      <c r="G59" s="80"/>
      <c r="H59" s="80"/>
      <c r="I59" s="80"/>
      <c r="J59" s="80"/>
      <c r="K59" s="80"/>
      <c r="L59" s="81">
        <f t="shared" si="0"/>
        <v>0</v>
      </c>
      <c r="M59" s="82">
        <f t="shared" si="1"/>
        <v>0</v>
      </c>
      <c r="N59" s="72">
        <f t="shared" si="2"/>
        <v>0</v>
      </c>
      <c r="O59" s="83"/>
      <c r="P59" s="46"/>
      <c r="Q59" s="8"/>
    </row>
    <row r="60" spans="1:17" s="5" customFormat="1" ht="15.75" x14ac:dyDescent="0.2">
      <c r="A60" s="41"/>
      <c r="B60" s="77"/>
      <c r="C60" s="78"/>
      <c r="D60" s="79"/>
      <c r="E60" s="80"/>
      <c r="F60" s="80"/>
      <c r="G60" s="80"/>
      <c r="H60" s="80"/>
      <c r="I60" s="80"/>
      <c r="J60" s="80"/>
      <c r="K60" s="80"/>
      <c r="L60" s="81">
        <f t="shared" si="0"/>
        <v>0</v>
      </c>
      <c r="M60" s="82">
        <f t="shared" si="1"/>
        <v>0</v>
      </c>
      <c r="N60" s="72">
        <f t="shared" si="2"/>
        <v>0</v>
      </c>
      <c r="O60" s="83"/>
      <c r="P60" s="46"/>
      <c r="Q60" s="8"/>
    </row>
    <row r="61" spans="1:17" s="5" customFormat="1" ht="15.75" x14ac:dyDescent="0.2">
      <c r="A61" s="41"/>
      <c r="B61" s="84"/>
      <c r="C61" s="84"/>
      <c r="D61" s="85"/>
      <c r="E61" s="86"/>
      <c r="F61" s="86"/>
      <c r="G61" s="86"/>
      <c r="H61" s="86"/>
      <c r="I61" s="86"/>
      <c r="J61" s="86"/>
      <c r="K61" s="86"/>
      <c r="L61" s="81">
        <f t="shared" si="0"/>
        <v>0</v>
      </c>
      <c r="M61" s="82">
        <f t="shared" si="1"/>
        <v>0</v>
      </c>
      <c r="N61" s="72">
        <f t="shared" si="2"/>
        <v>0</v>
      </c>
      <c r="O61" s="83"/>
      <c r="P61" s="46"/>
      <c r="Q61" s="8"/>
    </row>
    <row r="62" spans="1:17" s="5" customFormat="1" ht="15.75" x14ac:dyDescent="0.2">
      <c r="A62" s="41"/>
      <c r="B62" s="84"/>
      <c r="C62" s="84"/>
      <c r="D62" s="85"/>
      <c r="E62" s="86"/>
      <c r="F62" s="86"/>
      <c r="G62" s="86"/>
      <c r="H62" s="86"/>
      <c r="I62" s="86"/>
      <c r="J62" s="86"/>
      <c r="K62" s="86"/>
      <c r="L62" s="81">
        <f t="shared" si="0"/>
        <v>0</v>
      </c>
      <c r="M62" s="82">
        <f t="shared" si="1"/>
        <v>0</v>
      </c>
      <c r="N62" s="72">
        <f t="shared" si="2"/>
        <v>0</v>
      </c>
      <c r="O62" s="83"/>
      <c r="P62" s="46"/>
      <c r="Q62" s="8"/>
    </row>
    <row r="63" spans="1:17" s="5" customFormat="1" ht="15" x14ac:dyDescent="0.2">
      <c r="A63" s="41"/>
      <c r="B63" s="87">
        <v>1020530604</v>
      </c>
      <c r="C63" s="87" t="s">
        <v>271</v>
      </c>
      <c r="D63" s="87" t="s">
        <v>54</v>
      </c>
      <c r="E63" s="88">
        <v>12</v>
      </c>
      <c r="F63" s="88">
        <v>2</v>
      </c>
      <c r="G63" s="88">
        <v>24</v>
      </c>
      <c r="H63" s="88">
        <v>3</v>
      </c>
      <c r="I63" s="88">
        <v>36</v>
      </c>
      <c r="J63" s="88">
        <v>-1</v>
      </c>
      <c r="K63" s="88">
        <v>-12</v>
      </c>
      <c r="L63" s="88"/>
      <c r="M63" s="89"/>
      <c r="N63" s="90"/>
      <c r="O63" s="91"/>
      <c r="P63" s="46"/>
      <c r="Q63" s="8"/>
    </row>
    <row r="64" spans="1:17" s="5" customFormat="1" ht="15.75" x14ac:dyDescent="0.2">
      <c r="A64" s="41"/>
      <c r="B64" s="87">
        <v>1010830393</v>
      </c>
      <c r="C64" s="87" t="s">
        <v>211</v>
      </c>
      <c r="D64" s="87" t="s">
        <v>54</v>
      </c>
      <c r="E64" s="88">
        <v>23.73</v>
      </c>
      <c r="F64" s="88">
        <v>6</v>
      </c>
      <c r="G64" s="88">
        <v>142.38</v>
      </c>
      <c r="H64" s="88">
        <v>3</v>
      </c>
      <c r="I64" s="88">
        <v>71.19</v>
      </c>
      <c r="J64" s="88">
        <v>3</v>
      </c>
      <c r="K64" s="88">
        <v>71.19</v>
      </c>
      <c r="L64" s="132" t="s">
        <v>42</v>
      </c>
      <c r="M64" s="132"/>
      <c r="N64" s="92">
        <f>SUM(N12:N63)</f>
        <v>1016.500435</v>
      </c>
      <c r="O64" s="93">
        <f>+N64/$N$66</f>
        <v>0.99999999999999989</v>
      </c>
      <c r="P64" s="46"/>
      <c r="Q64" s="8"/>
    </row>
    <row r="65" spans="1:17" s="5" customFormat="1" ht="15" x14ac:dyDescent="0.2">
      <c r="A65" s="41"/>
      <c r="B65" s="87">
        <v>1010831213</v>
      </c>
      <c r="C65" s="87" t="s">
        <v>169</v>
      </c>
      <c r="D65" s="87" t="s">
        <v>54</v>
      </c>
      <c r="E65" s="88">
        <v>27.12</v>
      </c>
      <c r="F65" s="88">
        <v>7</v>
      </c>
      <c r="G65" s="88">
        <v>189.84</v>
      </c>
      <c r="H65" s="88">
        <v>10</v>
      </c>
      <c r="I65" s="88">
        <v>271.2</v>
      </c>
      <c r="J65" s="88">
        <v>-3</v>
      </c>
      <c r="K65" s="88">
        <v>-81.36</v>
      </c>
      <c r="L65" s="88"/>
      <c r="M65" s="89"/>
      <c r="N65" s="94"/>
      <c r="O65" s="91"/>
      <c r="P65" s="46"/>
      <c r="Q65" s="8"/>
    </row>
    <row r="66" spans="1:17" ht="15.75" x14ac:dyDescent="0.2">
      <c r="A66" s="41"/>
      <c r="B66" s="87">
        <v>10209037265</v>
      </c>
      <c r="C66" s="87" t="s">
        <v>171</v>
      </c>
      <c r="D66" s="87" t="s">
        <v>48</v>
      </c>
      <c r="E66" s="88">
        <v>8.9</v>
      </c>
      <c r="F66" s="88">
        <v>15</v>
      </c>
      <c r="G66" s="88">
        <v>133.5</v>
      </c>
      <c r="H66" s="88">
        <v>17</v>
      </c>
      <c r="I66" s="88">
        <v>151.30000000000001</v>
      </c>
      <c r="J66" s="89"/>
      <c r="K66" s="88">
        <v>-17.8</v>
      </c>
      <c r="L66" s="132" t="s">
        <v>22</v>
      </c>
      <c r="M66" s="132"/>
      <c r="N66" s="92">
        <f>'Ingresar Datos'!N1055</f>
        <v>1016.5004350000002</v>
      </c>
      <c r="O66" s="93">
        <f>+N66/$N$66</f>
        <v>1</v>
      </c>
      <c r="P66" s="46"/>
      <c r="Q66" s="8"/>
    </row>
    <row r="67" spans="1:17" ht="3.75" customHeight="1" x14ac:dyDescent="0.2">
      <c r="A67" s="41"/>
      <c r="B67" s="87">
        <v>10209037266</v>
      </c>
      <c r="C67" s="87" t="s">
        <v>172</v>
      </c>
      <c r="D67" s="87" t="s">
        <v>48</v>
      </c>
      <c r="E67" s="88">
        <v>8.9</v>
      </c>
      <c r="F67" s="88">
        <v>16</v>
      </c>
      <c r="G67" s="88">
        <v>142.4</v>
      </c>
      <c r="H67" s="88">
        <v>14</v>
      </c>
      <c r="I67" s="88">
        <v>124.6</v>
      </c>
      <c r="J67" s="88">
        <v>2</v>
      </c>
      <c r="K67" s="88">
        <v>17.8</v>
      </c>
      <c r="L67" s="88"/>
      <c r="M67" s="89"/>
      <c r="N67" s="94"/>
      <c r="O67" s="91"/>
      <c r="P67" s="46"/>
      <c r="Q67" s="8"/>
    </row>
    <row r="68" spans="1:17" ht="3.75" customHeight="1" x14ac:dyDescent="0.2">
      <c r="A68" s="41"/>
      <c r="B68" s="91">
        <v>5030224265</v>
      </c>
      <c r="C68" s="91" t="s">
        <v>299</v>
      </c>
      <c r="D68" s="91" t="s">
        <v>51</v>
      </c>
      <c r="E68" s="95">
        <v>7.2881169999999997</v>
      </c>
      <c r="F68" s="95">
        <v>195</v>
      </c>
      <c r="G68" s="95">
        <v>1421.1828149999999</v>
      </c>
      <c r="H68" s="95">
        <v>174.5</v>
      </c>
      <c r="I68" s="95">
        <v>1271.776417</v>
      </c>
      <c r="J68" s="95">
        <v>20.5</v>
      </c>
      <c r="K68" s="95">
        <v>149.40639899999999</v>
      </c>
      <c r="L68" s="95"/>
      <c r="M68" s="96"/>
      <c r="N68" s="97"/>
      <c r="O68" s="91"/>
      <c r="P68" s="46"/>
      <c r="Q68" s="8"/>
    </row>
    <row r="69" spans="1:17" ht="15" x14ac:dyDescent="0.2">
      <c r="A69" s="41"/>
      <c r="B69" s="91">
        <v>4030227693</v>
      </c>
      <c r="C69" s="91" t="s">
        <v>178</v>
      </c>
      <c r="D69" s="91" t="s">
        <v>51</v>
      </c>
      <c r="E69" s="95">
        <v>8.43</v>
      </c>
      <c r="F69" s="95">
        <v>101</v>
      </c>
      <c r="G69" s="95">
        <v>851.43</v>
      </c>
      <c r="H69" s="95">
        <v>106</v>
      </c>
      <c r="I69" s="95">
        <v>893.58</v>
      </c>
      <c r="J69" s="95">
        <v>-5</v>
      </c>
      <c r="K69" s="95">
        <v>-42.15</v>
      </c>
      <c r="L69" s="95"/>
      <c r="M69" s="96"/>
      <c r="N69" s="97"/>
      <c r="O69" s="91"/>
      <c r="P69" s="46"/>
      <c r="Q69" s="8"/>
    </row>
    <row r="70" spans="1:17" ht="15" x14ac:dyDescent="0.2">
      <c r="A70" s="41"/>
      <c r="B70" s="91"/>
      <c r="C70" s="91"/>
      <c r="D70" s="91"/>
      <c r="E70" s="95"/>
      <c r="F70" s="95"/>
      <c r="G70" s="95"/>
      <c r="H70" s="95"/>
      <c r="I70" s="95"/>
      <c r="J70" s="95"/>
      <c r="K70" s="95"/>
      <c r="L70" s="95"/>
      <c r="M70" s="96"/>
      <c r="N70" s="97"/>
      <c r="O70" s="91"/>
      <c r="P70" s="46"/>
      <c r="Q70" s="8"/>
    </row>
    <row r="71" spans="1:17" ht="15" x14ac:dyDescent="0.2">
      <c r="A71" s="41"/>
      <c r="B71" s="91"/>
      <c r="C71" s="98"/>
      <c r="D71" s="91"/>
      <c r="E71" s="95"/>
      <c r="F71" s="95"/>
      <c r="G71" s="99"/>
      <c r="H71" s="99"/>
      <c r="I71" s="99"/>
      <c r="J71" s="95"/>
      <c r="K71" s="95"/>
      <c r="L71" s="99"/>
      <c r="M71" s="100"/>
      <c r="N71" s="101"/>
      <c r="O71" s="91" t="s">
        <v>212</v>
      </c>
      <c r="P71" s="46"/>
      <c r="Q71" s="8"/>
    </row>
    <row r="72" spans="1:17" s="16" customFormat="1" ht="15.75" x14ac:dyDescent="0.2">
      <c r="A72" s="47"/>
      <c r="B72" s="102"/>
      <c r="C72" s="103" t="s">
        <v>37</v>
      </c>
      <c r="D72" s="102"/>
      <c r="E72" s="104"/>
      <c r="F72" s="104"/>
      <c r="G72" s="146" t="s">
        <v>38</v>
      </c>
      <c r="H72" s="146"/>
      <c r="I72" s="146"/>
      <c r="J72" s="104"/>
      <c r="K72" s="104"/>
      <c r="L72" s="147" t="s">
        <v>39</v>
      </c>
      <c r="M72" s="147"/>
      <c r="N72" s="147"/>
      <c r="O72" s="102" t="s">
        <v>194</v>
      </c>
      <c r="P72" s="48"/>
      <c r="Q72" s="15"/>
    </row>
    <row r="73" spans="1:17" s="14" customFormat="1" ht="15" x14ac:dyDescent="0.2">
      <c r="A73" s="49"/>
      <c r="B73" s="105" t="s">
        <v>40</v>
      </c>
      <c r="C73" s="106"/>
      <c r="D73" s="106"/>
      <c r="E73" s="107"/>
      <c r="F73" s="105" t="s">
        <v>40</v>
      </c>
      <c r="G73" s="107"/>
      <c r="H73" s="107"/>
      <c r="I73" s="107"/>
      <c r="J73" s="107"/>
      <c r="K73" s="105" t="s">
        <v>40</v>
      </c>
      <c r="L73" s="107"/>
      <c r="M73" s="106"/>
      <c r="N73" s="108"/>
      <c r="O73" s="106"/>
      <c r="P73" s="50"/>
      <c r="Q73" s="13"/>
    </row>
    <row r="74" spans="1:17" s="14" customFormat="1" ht="15" x14ac:dyDescent="0.2">
      <c r="A74" s="49"/>
      <c r="B74" s="105" t="s">
        <v>41</v>
      </c>
      <c r="C74" s="106">
        <v>43364017</v>
      </c>
      <c r="D74" s="106"/>
      <c r="E74" s="107"/>
      <c r="F74" s="105" t="s">
        <v>41</v>
      </c>
      <c r="G74" s="107"/>
      <c r="H74" s="107"/>
      <c r="I74" s="107"/>
      <c r="J74" s="107"/>
      <c r="K74" s="105" t="s">
        <v>41</v>
      </c>
      <c r="L74" s="107"/>
      <c r="M74" s="106"/>
      <c r="N74" s="108"/>
      <c r="O74" s="106"/>
      <c r="P74" s="50"/>
      <c r="Q74" s="13"/>
    </row>
    <row r="75" spans="1:17" s="14" customFormat="1" ht="15" x14ac:dyDescent="0.2">
      <c r="A75" s="49"/>
      <c r="B75" s="105"/>
      <c r="C75" s="106"/>
      <c r="D75" s="106"/>
      <c r="E75" s="107"/>
      <c r="F75" s="105"/>
      <c r="G75" s="107"/>
      <c r="H75" s="107"/>
      <c r="I75" s="107"/>
      <c r="J75" s="107"/>
      <c r="K75" s="105"/>
      <c r="L75" s="107"/>
      <c r="M75" s="106"/>
      <c r="N75" s="108"/>
      <c r="O75" s="106"/>
      <c r="P75" s="50"/>
      <c r="Q75" s="13"/>
    </row>
    <row r="76" spans="1:17" s="14" customFormat="1" ht="15" x14ac:dyDescent="0.2">
      <c r="A76" s="49"/>
      <c r="B76" s="105"/>
      <c r="C76" s="106"/>
      <c r="D76" s="106"/>
      <c r="E76" s="107"/>
      <c r="F76" s="105"/>
      <c r="G76" s="107"/>
      <c r="H76" s="107"/>
      <c r="I76" s="107"/>
      <c r="J76" s="107"/>
      <c r="K76" s="105"/>
      <c r="L76" s="107"/>
      <c r="M76" s="106"/>
      <c r="N76" s="108"/>
      <c r="O76" s="106"/>
      <c r="P76" s="50"/>
      <c r="Q76" s="13"/>
    </row>
    <row r="77" spans="1:17" s="14" customFormat="1" ht="15" x14ac:dyDescent="0.2">
      <c r="A77" s="49"/>
      <c r="B77" s="105"/>
      <c r="C77" s="106"/>
      <c r="D77" s="106"/>
      <c r="E77" s="107"/>
      <c r="F77" s="105"/>
      <c r="G77" s="107"/>
      <c r="H77" s="107"/>
      <c r="I77" s="107"/>
      <c r="J77" s="107"/>
      <c r="K77" s="105"/>
      <c r="L77" s="107"/>
      <c r="M77" s="106"/>
      <c r="N77" s="108"/>
      <c r="O77" s="106"/>
      <c r="P77" s="50"/>
      <c r="Q77" s="13"/>
    </row>
    <row r="78" spans="1:17" s="14" customFormat="1" ht="15" x14ac:dyDescent="0.2">
      <c r="A78" s="49"/>
      <c r="B78" s="105"/>
      <c r="C78" s="106"/>
      <c r="D78" s="106"/>
      <c r="E78" s="107"/>
      <c r="F78" s="105"/>
      <c r="G78" s="107"/>
      <c r="H78" s="107"/>
      <c r="I78" s="107"/>
      <c r="J78" s="107"/>
      <c r="K78" s="105"/>
      <c r="L78" s="107"/>
      <c r="M78" s="106"/>
      <c r="N78" s="108"/>
      <c r="O78" s="106"/>
      <c r="P78" s="50"/>
      <c r="Q78" s="13"/>
    </row>
    <row r="79" spans="1:17" s="14" customFormat="1" ht="15.75" x14ac:dyDescent="0.2">
      <c r="A79" s="49"/>
      <c r="B79" s="91"/>
      <c r="C79" s="109" t="s">
        <v>43</v>
      </c>
      <c r="D79" s="91"/>
      <c r="E79" s="102"/>
      <c r="F79" s="110"/>
      <c r="G79" s="148" t="s">
        <v>44</v>
      </c>
      <c r="H79" s="148"/>
      <c r="I79" s="148"/>
      <c r="J79" s="111"/>
      <c r="K79" s="110"/>
      <c r="L79" s="148" t="s">
        <v>45</v>
      </c>
      <c r="M79" s="148"/>
      <c r="N79" s="148"/>
      <c r="O79" s="106"/>
      <c r="P79" s="50"/>
      <c r="Q79" s="13"/>
    </row>
    <row r="80" spans="1:17" s="14" customFormat="1" ht="15.75" x14ac:dyDescent="0.2">
      <c r="A80" s="49"/>
      <c r="B80" s="107" t="s">
        <v>40</v>
      </c>
      <c r="C80" s="112"/>
      <c r="D80" s="91"/>
      <c r="E80" s="110"/>
      <c r="F80" s="107" t="s">
        <v>40</v>
      </c>
      <c r="G80" s="110"/>
      <c r="H80" s="95"/>
      <c r="I80" s="95"/>
      <c r="J80" s="110"/>
      <c r="K80" s="107" t="s">
        <v>40</v>
      </c>
      <c r="L80" s="112"/>
      <c r="M80" s="113"/>
      <c r="N80" s="108"/>
      <c r="O80" s="106"/>
      <c r="P80" s="50"/>
      <c r="Q80" s="13"/>
    </row>
    <row r="81" spans="1:17" s="14" customFormat="1" ht="15.75" x14ac:dyDescent="0.2">
      <c r="A81" s="49"/>
      <c r="B81" s="107" t="s">
        <v>41</v>
      </c>
      <c r="C81" s="112"/>
      <c r="D81" s="91"/>
      <c r="E81" s="110"/>
      <c r="F81" s="107" t="s">
        <v>41</v>
      </c>
      <c r="G81" s="110"/>
      <c r="H81" s="95"/>
      <c r="I81" s="95"/>
      <c r="J81" s="110"/>
      <c r="K81" s="107" t="s">
        <v>41</v>
      </c>
      <c r="L81" s="110"/>
      <c r="M81" s="113"/>
      <c r="N81" s="108"/>
      <c r="O81" s="106"/>
      <c r="P81" s="50"/>
      <c r="Q81" s="13"/>
    </row>
    <row r="82" spans="1:17" s="14" customFormat="1" ht="15" x14ac:dyDescent="0.2">
      <c r="A82" s="49"/>
      <c r="B82" s="105"/>
      <c r="C82" s="106"/>
      <c r="D82" s="106"/>
      <c r="E82" s="107"/>
      <c r="F82" s="105"/>
      <c r="G82" s="107"/>
      <c r="H82" s="107"/>
      <c r="I82" s="107"/>
      <c r="J82" s="107"/>
      <c r="K82" s="105"/>
      <c r="L82" s="107"/>
      <c r="M82" s="106"/>
      <c r="N82" s="108"/>
      <c r="O82" s="106"/>
      <c r="P82" s="50"/>
      <c r="Q82" s="13"/>
    </row>
    <row r="83" spans="1:17" s="14" customFormat="1" ht="15" x14ac:dyDescent="0.2">
      <c r="A83" s="49"/>
      <c r="B83" s="114"/>
      <c r="C83" s="114"/>
      <c r="D83" s="114"/>
      <c r="E83" s="105"/>
      <c r="F83" s="105"/>
      <c r="G83" s="105"/>
      <c r="H83" s="105"/>
      <c r="I83" s="105"/>
      <c r="J83" s="105"/>
      <c r="K83" s="105"/>
      <c r="L83" s="105"/>
      <c r="M83" s="114"/>
      <c r="N83" s="115"/>
      <c r="O83" s="106"/>
      <c r="P83" s="50"/>
      <c r="Q83" s="13"/>
    </row>
    <row r="84" spans="1:17" s="14" customFormat="1" ht="15.75" thickBot="1" x14ac:dyDescent="0.25">
      <c r="A84" s="51"/>
      <c r="B84" s="116"/>
      <c r="C84" s="116"/>
      <c r="D84" s="116"/>
      <c r="E84" s="117"/>
      <c r="F84" s="117"/>
      <c r="G84" s="117"/>
      <c r="H84" s="117"/>
      <c r="I84" s="117"/>
      <c r="J84" s="117"/>
      <c r="K84" s="117"/>
      <c r="L84" s="117"/>
      <c r="M84" s="116"/>
      <c r="N84" s="118"/>
      <c r="O84" s="119"/>
      <c r="P84" s="52"/>
      <c r="Q84" s="13"/>
    </row>
    <row r="85" spans="1:17" x14ac:dyDescent="0.2">
      <c r="B85" s="25"/>
      <c r="C85" s="25"/>
      <c r="D85" s="25"/>
      <c r="E85" s="26"/>
      <c r="F85" s="26"/>
      <c r="G85" s="26"/>
      <c r="H85" s="26"/>
      <c r="I85" s="26"/>
      <c r="J85" s="26"/>
      <c r="K85" s="26"/>
      <c r="L85" s="26"/>
      <c r="M85" s="27"/>
      <c r="N85" s="28"/>
      <c r="O85" s="8"/>
      <c r="P85" s="8"/>
      <c r="Q85" s="8"/>
    </row>
    <row r="86" spans="1:17" x14ac:dyDescent="0.2">
      <c r="B86" s="25"/>
      <c r="C86" s="25"/>
      <c r="D86" s="25"/>
      <c r="E86" s="26"/>
      <c r="F86" s="26"/>
      <c r="G86" s="26"/>
      <c r="H86" s="26"/>
      <c r="I86" s="26"/>
      <c r="J86" s="26"/>
      <c r="K86" s="26"/>
      <c r="L86" s="26"/>
      <c r="M86" s="27"/>
      <c r="N86" s="28"/>
      <c r="O86" s="8"/>
      <c r="P86" s="8"/>
      <c r="Q86" s="8"/>
    </row>
    <row r="87" spans="1:17" x14ac:dyDescent="0.2">
      <c r="B87" s="32" t="s">
        <v>35</v>
      </c>
      <c r="C87" s="9"/>
      <c r="D87" s="25"/>
      <c r="E87" s="26"/>
      <c r="F87" s="26"/>
      <c r="G87" s="26"/>
      <c r="H87" s="26"/>
      <c r="I87" s="26"/>
      <c r="J87" s="26"/>
      <c r="K87" s="26"/>
      <c r="L87" s="26"/>
      <c r="M87" s="27"/>
      <c r="N87" s="28"/>
      <c r="O87" s="8"/>
      <c r="P87" s="8"/>
      <c r="Q87" s="8"/>
    </row>
    <row r="88" spans="1:17" x14ac:dyDescent="0.2">
      <c r="B88" s="9"/>
      <c r="C88" s="9"/>
      <c r="D88" s="25"/>
      <c r="E88" s="26"/>
      <c r="F88" s="26"/>
      <c r="G88" s="26"/>
      <c r="H88" s="26"/>
      <c r="I88" s="26"/>
      <c r="J88" s="26"/>
      <c r="K88" s="6"/>
      <c r="L88" s="6"/>
      <c r="M88" s="6"/>
      <c r="N88" s="28"/>
      <c r="O88" s="8"/>
      <c r="P88" s="8"/>
      <c r="Q88" s="8"/>
    </row>
    <row r="89" spans="1:17" s="1" customFormat="1" ht="38.25" x14ac:dyDescent="0.2">
      <c r="B89" s="33" t="s">
        <v>6</v>
      </c>
      <c r="D89" s="30"/>
      <c r="E89" s="31"/>
      <c r="F89" s="31"/>
      <c r="J89" s="29"/>
      <c r="K89" s="29"/>
      <c r="L89" s="29"/>
      <c r="M89" s="29"/>
      <c r="N89" s="29"/>
      <c r="Q89" s="38"/>
    </row>
    <row r="90" spans="1:17" s="1" customFormat="1" ht="24" x14ac:dyDescent="0.2">
      <c r="C90" s="34" t="s">
        <v>26</v>
      </c>
      <c r="D90" s="29"/>
      <c r="E90" s="31"/>
      <c r="F90" s="31"/>
      <c r="G90" s="31"/>
      <c r="H90" s="31"/>
      <c r="I90" s="31"/>
      <c r="J90" s="29"/>
      <c r="K90" s="29"/>
      <c r="L90" s="29"/>
      <c r="M90" s="29"/>
      <c r="N90" s="29"/>
      <c r="Q90" s="38"/>
    </row>
    <row r="91" spans="1:17" s="1" customFormat="1" ht="24" x14ac:dyDescent="0.2">
      <c r="C91" s="34" t="s">
        <v>23</v>
      </c>
      <c r="D91" s="29"/>
      <c r="E91" s="31"/>
      <c r="F91" s="31"/>
      <c r="G91" s="31"/>
      <c r="H91" s="29"/>
      <c r="I91" s="31"/>
      <c r="J91" s="29"/>
      <c r="K91" s="29"/>
      <c r="L91" s="29"/>
      <c r="M91" s="29"/>
      <c r="N91" s="29"/>
      <c r="Q91" s="38"/>
    </row>
    <row r="92" spans="1:17" s="1" customFormat="1" ht="48" x14ac:dyDescent="0.2">
      <c r="C92" s="34" t="s">
        <v>24</v>
      </c>
      <c r="D92" s="29"/>
      <c r="E92" s="31"/>
      <c r="F92" s="31"/>
      <c r="G92" s="29"/>
      <c r="H92" s="31"/>
      <c r="I92" s="31"/>
      <c r="J92" s="29"/>
      <c r="K92" s="29"/>
      <c r="L92" s="29"/>
      <c r="M92" s="29"/>
      <c r="N92" s="29"/>
      <c r="Q92" s="38"/>
    </row>
    <row r="93" spans="1:17" s="1" customFormat="1" ht="38.25" x14ac:dyDescent="0.2">
      <c r="B93" s="33" t="s">
        <v>25</v>
      </c>
      <c r="D93" s="29"/>
      <c r="E93" s="31"/>
      <c r="F93" s="31"/>
      <c r="G93" s="31"/>
      <c r="H93" s="31"/>
      <c r="I93" s="31"/>
      <c r="J93" s="29"/>
      <c r="K93" s="29"/>
      <c r="L93" s="29"/>
      <c r="M93" s="29"/>
      <c r="N93" s="29"/>
      <c r="Q93" s="38"/>
    </row>
    <row r="94" spans="1:17" s="1" customFormat="1" ht="24" x14ac:dyDescent="0.2">
      <c r="C94" s="35" t="s">
        <v>27</v>
      </c>
      <c r="D94" s="29"/>
      <c r="E94" s="31"/>
      <c r="F94" s="31"/>
      <c r="G94" s="31"/>
      <c r="H94" s="31"/>
      <c r="I94" s="31"/>
      <c r="J94" s="29"/>
      <c r="K94" s="29"/>
      <c r="L94" s="29"/>
      <c r="M94" s="29"/>
      <c r="N94" s="29"/>
      <c r="Q94" s="38"/>
    </row>
    <row r="95" spans="1:17" s="1" customFormat="1" ht="24" x14ac:dyDescent="0.2">
      <c r="C95" s="34" t="s">
        <v>28</v>
      </c>
      <c r="D95" s="30"/>
      <c r="E95" s="31"/>
      <c r="F95" s="31"/>
      <c r="G95" s="31"/>
      <c r="H95" s="31"/>
      <c r="I95" s="31"/>
      <c r="J95" s="29"/>
      <c r="K95" s="29"/>
      <c r="L95" s="29"/>
      <c r="M95" s="29"/>
      <c r="N95" s="29"/>
      <c r="Q95" s="38"/>
    </row>
    <row r="96" spans="1:17" s="1" customFormat="1" ht="24" x14ac:dyDescent="0.2">
      <c r="C96" s="36" t="s">
        <v>30</v>
      </c>
      <c r="D96" s="31"/>
      <c r="E96" s="29"/>
      <c r="F96" s="31"/>
      <c r="G96" s="31"/>
      <c r="H96" s="31"/>
      <c r="I96" s="31"/>
      <c r="J96" s="29"/>
      <c r="K96" s="29"/>
      <c r="L96" s="29"/>
      <c r="M96" s="29"/>
      <c r="N96" s="29"/>
      <c r="Q96" s="38"/>
    </row>
    <row r="97" spans="1:17" s="1" customFormat="1" x14ac:dyDescent="0.2">
      <c r="C97" s="36" t="s">
        <v>29</v>
      </c>
      <c r="D97" s="31"/>
      <c r="E97" s="29"/>
      <c r="F97" s="31"/>
      <c r="G97" s="31"/>
      <c r="H97" s="31"/>
      <c r="I97" s="31"/>
      <c r="J97" s="29"/>
      <c r="K97" s="29"/>
      <c r="L97" s="29"/>
      <c r="M97" s="29"/>
      <c r="N97" s="29"/>
      <c r="Q97" s="38"/>
    </row>
    <row r="98" spans="1:17" s="1" customFormat="1" ht="48" x14ac:dyDescent="0.2">
      <c r="C98" s="34" t="s">
        <v>33</v>
      </c>
      <c r="D98" s="31"/>
      <c r="E98" s="31"/>
      <c r="F98" s="31"/>
      <c r="G98" s="31"/>
      <c r="H98" s="31"/>
      <c r="I98" s="31"/>
      <c r="J98" s="29"/>
      <c r="K98" s="29"/>
      <c r="L98" s="29"/>
      <c r="M98" s="29"/>
      <c r="N98" s="29"/>
      <c r="Q98" s="38"/>
    </row>
    <row r="99" spans="1:17" s="1" customFormat="1" x14ac:dyDescent="0.2">
      <c r="C99" s="36" t="s">
        <v>34</v>
      </c>
      <c r="D99" s="31"/>
      <c r="E99" s="31"/>
      <c r="F99" s="31"/>
      <c r="G99" s="31"/>
      <c r="H99" s="31"/>
      <c r="I99" s="31"/>
      <c r="J99" s="29"/>
      <c r="K99" s="29"/>
      <c r="L99" s="29"/>
      <c r="M99" s="29"/>
      <c r="N99" s="29"/>
      <c r="Q99" s="38"/>
    </row>
    <row r="100" spans="1:17" s="1" customFormat="1" ht="38.25" x14ac:dyDescent="0.2">
      <c r="B100" s="33" t="s">
        <v>5</v>
      </c>
      <c r="D100" s="31"/>
      <c r="E100" s="31"/>
      <c r="F100" s="31"/>
      <c r="G100" s="31"/>
      <c r="H100" s="31"/>
      <c r="I100" s="31"/>
      <c r="J100" s="29"/>
      <c r="K100" s="29"/>
      <c r="L100" s="29"/>
      <c r="M100" s="29"/>
      <c r="N100" s="29"/>
      <c r="Q100" s="38"/>
    </row>
    <row r="101" spans="1:17" s="1" customFormat="1" x14ac:dyDescent="0.2">
      <c r="C101" s="34" t="s">
        <v>31</v>
      </c>
      <c r="D101" s="31"/>
      <c r="E101" s="31"/>
      <c r="F101" s="31"/>
      <c r="G101" s="31"/>
      <c r="H101" s="31"/>
      <c r="I101" s="31"/>
      <c r="J101" s="29"/>
      <c r="K101" s="29"/>
      <c r="L101" s="29"/>
      <c r="M101" s="29"/>
      <c r="N101" s="29"/>
      <c r="Q101" s="38"/>
    </row>
    <row r="102" spans="1:17" s="1" customFormat="1" x14ac:dyDescent="0.2">
      <c r="C102" s="36" t="s">
        <v>32</v>
      </c>
      <c r="D102" s="31"/>
      <c r="E102" s="31"/>
      <c r="F102" s="31"/>
      <c r="G102" s="31"/>
      <c r="H102" s="31"/>
      <c r="I102" s="31"/>
      <c r="J102" s="29"/>
      <c r="K102" s="29"/>
      <c r="L102" s="29"/>
      <c r="M102" s="29"/>
      <c r="N102" s="29"/>
      <c r="Q102" s="38"/>
    </row>
    <row r="103" spans="1:17" s="5" customFormat="1" x14ac:dyDescent="0.2">
      <c r="A103" s="2"/>
      <c r="B103" s="9"/>
      <c r="C103" s="9"/>
      <c r="D103" s="25"/>
      <c r="E103" s="26"/>
      <c r="F103" s="26"/>
      <c r="G103" s="26"/>
      <c r="H103" s="26"/>
      <c r="I103" s="26"/>
      <c r="J103" s="26"/>
      <c r="K103" s="26"/>
      <c r="L103" s="26"/>
      <c r="M103" s="27"/>
      <c r="N103" s="28"/>
      <c r="O103" s="8"/>
      <c r="P103" s="8"/>
      <c r="Q103" s="8"/>
    </row>
    <row r="104" spans="1:17" s="5" customFormat="1" x14ac:dyDescent="0.2">
      <c r="A104" s="2"/>
      <c r="B104" s="37" t="s">
        <v>36</v>
      </c>
      <c r="C104" s="9"/>
      <c r="D104" s="25"/>
      <c r="E104" s="26"/>
      <c r="F104" s="26"/>
      <c r="G104" s="26"/>
      <c r="H104" s="26"/>
      <c r="I104" s="26"/>
      <c r="J104" s="26"/>
      <c r="K104" s="26"/>
      <c r="L104" s="26"/>
      <c r="M104" s="27"/>
      <c r="N104" s="28"/>
      <c r="O104" s="8"/>
      <c r="P104" s="8"/>
      <c r="Q104" s="8"/>
    </row>
    <row r="105" spans="1:17" x14ac:dyDescent="0.2">
      <c r="B105" s="9"/>
      <c r="C105" s="9"/>
    </row>
  </sheetData>
  <sheetProtection formatColumns="0"/>
  <mergeCells count="4">
    <mergeCell ref="G72:I72"/>
    <mergeCell ref="L72:N72"/>
    <mergeCell ref="G79:I79"/>
    <mergeCell ref="L79:N79"/>
  </mergeCells>
  <pageMargins left="0" right="0" top="0" bottom="0.75" header="0" footer="0"/>
  <pageSetup paperSize="9" scale="44" fitToHeight="0" orientation="landscape" horizontalDpi="360" verticalDpi="360" r:id="rId1"/>
  <headerFooter>
    <oddFooter>&amp;LR-AI-15-3
Rev.01</oddFooter>
  </headerFooter>
  <rowBreaks count="1" manualBreakCount="1">
    <brk id="84" max="1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Ingresar Datos</vt:lpstr>
      <vt:lpstr>Reporte</vt:lpstr>
      <vt:lpstr>Reporte (2)</vt:lpstr>
      <vt:lpstr>Reporte!Área_de_impresión</vt:lpstr>
      <vt:lpstr>'Reporte (2)'!Área_de_impresión</vt:lpstr>
      <vt:lpstr>Reporte!Títulos_a_imprimir</vt:lpstr>
      <vt:lpstr>'Reporte (2)'!Títulos_a_imprimir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gynga</dc:creator>
  <cp:lastModifiedBy>RAMOS Jhonathan</cp:lastModifiedBy>
  <cp:lastPrinted>2026-09-28T06:26:23Z</cp:lastPrinted>
  <dcterms:created xsi:type="dcterms:W3CDTF">2013-12-23T19:46:47Z</dcterms:created>
  <dcterms:modified xsi:type="dcterms:W3CDTF">2026-09-28T06:26:26Z</dcterms:modified>
</cp:coreProperties>
</file>